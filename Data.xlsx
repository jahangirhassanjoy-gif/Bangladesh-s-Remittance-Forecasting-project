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MIS444 project\Remetence Project\"/>
    </mc:Choice>
  </mc:AlternateContent>
  <xr:revisionPtr revIDLastSave="0" documentId="8_{35D1B7F1-02AE-4FC1-BAC0-64AE68D9651F}" xr6:coauthVersionLast="47" xr6:coauthVersionMax="47" xr10:uidLastSave="{00000000-0000-0000-0000-000000000000}"/>
  <bookViews>
    <workbookView xWindow="-120" yWindow="-120" windowWidth="29040" windowHeight="15720" xr2:uid="{FD9D7A2E-F0EE-4EF2-9EC3-F1DAE0EAD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0" i="1" l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tc={B77C3404-611F-551E-9BA3-E3BC228CC456}</author>
    <author>tc={49C45DDB-04A2-5224-8C23-106E35443FA4}</author>
    <author>tc={BE922036-47DB-5368-AD1F-77E41725F05F}</author>
  </authors>
  <commentList>
    <comment ref="N3" authorId="0" shapeId="0" xr:uid="{A7C2F018-AAF1-4016-AD16-19155C8056BC}">
      <text>
        <r>
          <rPr>
            <sz val="1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Brent crude, monthly average US$/bbl. Source: IMF via FRED series POILBREUSDM - https://fred.stlouisfed.org/series/POILBREUSDM</t>
        </r>
      </text>
    </comment>
    <comment ref="O3" authorId="1" shapeId="0" xr:uid="{56F1D343-9794-4EEE-B799-A8FDEC05986E}">
      <text>
        <r>
          <rPr>
            <sz val="1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Saudi Arabia crude oil production, thousand barrels per day. Source: JODI Oil World Database (primary, INDPROD) - https://www.jodidata.org/oil/</t>
        </r>
      </text>
    </comment>
    <comment ref="P3" authorId="2" shapeId="0" xr:uid="{7E7A5B51-727E-48E6-891A-3F93908077D6}">
      <text>
        <r>
          <rPr>
            <sz val="1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Derived: Brent x Saudi crude output, indexed to 100 in Jan 2011. A monthly proxy for Gulf oil revenue and hence GCC construction and labour demand. Not published by any agency - constructed here.</t>
        </r>
      </text>
    </comment>
  </commentList>
</comments>
</file>

<file path=xl/sharedStrings.xml><?xml version="1.0" encoding="utf-8"?>
<sst xmlns="http://schemas.openxmlformats.org/spreadsheetml/2006/main" count="428" uniqueCount="231">
  <si>
    <t>Bangladesh Monthly Remittance Dataset</t>
  </si>
  <si>
    <t>Monthly observations, January 2011 - July 2026 (187 months). Blank = not published; see Notes sheet.</t>
  </si>
  <si>
    <t>US$ mn</t>
  </si>
  <si>
    <t>BDT bn</t>
  </si>
  <si>
    <t>Tk/US$</t>
  </si>
  <si>
    <t>#</t>
  </si>
  <si>
    <t>0/1</t>
  </si>
  <si>
    <t>%</t>
  </si>
  <si>
    <t>US$/bbl</t>
  </si>
  <si>
    <t>kb/d</t>
  </si>
  <si>
    <t>Index</t>
  </si>
  <si>
    <t>Month</t>
  </si>
  <si>
    <t>Year</t>
  </si>
  <si>
    <t>Month #</t>
  </si>
  <si>
    <t>Fiscal Year</t>
  </si>
  <si>
    <t>Remittance</t>
  </si>
  <si>
    <t>Avg USD/BDT</t>
  </si>
  <si>
    <t>FX Reserves</t>
  </si>
  <si>
    <t>Workers Deployed</t>
  </si>
  <si>
    <t>Eid-ul-Fitr</t>
  </si>
  <si>
    <t>Eid-ul-Adha</t>
  </si>
  <si>
    <t>Incentive Rate</t>
  </si>
  <si>
    <t>Prov.</t>
  </si>
  <si>
    <t>Brent Crude</t>
  </si>
  <si>
    <t>Saudi Crude Output</t>
  </si>
  <si>
    <t>GCC Activity Index</t>
  </si>
  <si>
    <t>2011-01</t>
  </si>
  <si>
    <t>FY2010-11</t>
  </si>
  <si>
    <t>2011-02</t>
  </si>
  <si>
    <t>2011-03</t>
  </si>
  <si>
    <t>2011-04</t>
  </si>
  <si>
    <t>2011-05</t>
  </si>
  <si>
    <t>2011-06</t>
  </si>
  <si>
    <t>2011-07</t>
  </si>
  <si>
    <t>FY2011-12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</si>
  <si>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</si>
  <si>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</si>
  <si>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</si>
  <si>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</si>
  <si>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</si>
  <si>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</si>
  <si>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</si>
  <si>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</si>
  <si>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</si>
  <si>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</si>
  <si>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</si>
  <si>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</si>
  <si>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FY2012-13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</si>
  <si>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</si>
  <si>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</si>
  <si>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</si>
  <si>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</si>
  <si>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</si>
  <si>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</si>
  <si>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</si>
  <si>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</si>
  <si>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</si>
  <si>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</si>
  <si>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</si>
  <si>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</si>
  <si>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FY2013-14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</si>
  <si>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</si>
  <si>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</si>
  <si>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</si>
  <si>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</si>
  <si>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</si>
  <si>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</si>
  <si>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</si>
  <si>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</si>
  <si>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</si>
  <si>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</si>
  <si>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</si>
  <si>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</si>
  <si>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FY2014-15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</si>
  <si>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</si>
  <si>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</si>
  <si>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</si>
  <si>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</si>
  <si>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</si>
  <si>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</si>
  <si>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</si>
  <si>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</si>
  <si>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</si>
  <si>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</si>
  <si>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</si>
  <si>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</si>
  <si>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FY2015-16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</si>
  <si>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</si>
  <si>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</si>
  <si>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</si>
  <si>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</si>
  <si>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</si>
  <si>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</si>
  <si>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</si>
  <si>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</si>
  <si>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</si>
  <si>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</si>
  <si>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</si>
  <si>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</si>
  <si>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FY2016-17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</si>
  <si>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</si>
  <si>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</si>
  <si>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</si>
  <si>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</si>
  <si>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</si>
  <si>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</si>
  <si>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</si>
  <si>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</si>
  <si>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</si>
  <si>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</si>
  <si>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</si>
  <si>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</si>
  <si>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FY2017-18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</si>
  <si>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</si>
  <si>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</si>
  <si>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</si>
  <si>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</si>
  <si>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</si>
  <si>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</si>
  <si>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</si>
  <si>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</si>
  <si>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</si>
  <si>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</si>
  <si>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</si>
  <si>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</si>
  <si>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FY2018-19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</si>
  <si>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</si>
  <si>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</si>
  <si>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</si>
  <si>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</si>
  <si>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</si>
  <si>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</si>
  <si>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</si>
  <si>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</si>
  <si>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</si>
  <si>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</si>
  <si>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</si>
  <si>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</si>
  <si>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FY2019-20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</si>
  <si>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</si>
  <si>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</si>
  <si>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</si>
  <si>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</si>
  <si>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</si>
  <si>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</si>
  <si>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</si>
  <si>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</si>
  <si>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</si>
  <si>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</si>
  <si>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</si>
  <si>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</si>
  <si>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FY2020-21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</si>
  <si>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</si>
  <si>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</si>
  <si>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</si>
  <si>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</si>
  <si>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</si>
  <si>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</si>
  <si>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</si>
  <si>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</si>
  <si>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</si>
  <si>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</si>
  <si>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</si>
  <si>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</si>
  <si>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FY2021-22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</si>
  <si>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</si>
  <si>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</si>
  <si>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</si>
  <si>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</si>
  <si>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</si>
  <si>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</si>
  <si>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</si>
  <si>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</si>
  <si>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</si>
  <si>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</si>
  <si>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</si>
  <si>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</si>
  <si>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FY2022-23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</si>
  <si>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</si>
  <si>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</si>
  <si>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</si>
  <si>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</si>
  <si>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</si>
  <si>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</si>
  <si>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</si>
  <si>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</si>
  <si>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</si>
  <si>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</si>
  <si>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</si>
  <si>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</si>
  <si>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FY2023-24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</si>
  <si>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</si>
  <si>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</si>
  <si>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</si>
  <si>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</si>
  <si>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</si>
  <si>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</si>
  <si>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</si>
  <si>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</si>
  <si>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</si>
  <si>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</si>
  <si>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</si>
  <si>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</si>
  <si>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FY2024-25</t>
  </si>
  <si>
    <t>Y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</si>
  <si>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</si>
  <si>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</si>
  <si>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</si>
  <si>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</si>
  <si>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</si>
  <si>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</si>
  <si>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</si>
  <si>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</si>
  <si>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</si>
  <si>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</si>
  <si>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</si>
  <si>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</si>
  <si>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FY2025-26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</si>
  <si>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</si>
  <si>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</si>
  <si>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</si>
  <si>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</si>
  <si>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</si>
  <si>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</si>
  <si>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</si>
  <si>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</si>
  <si>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</si>
  <si>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</si>
  <si>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</si>
  <si>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</si>
  <si>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FY2026-27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</si>
</sst>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"/>
    <numFmt numFmtId="166" formatCode="0.0&quot;%&quot;"/>
  </numFmts>
  <fonts count="7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1"/>
      <name val="Calibri"/>
      <family val="2"/>
    </font>
    <font>
      <i/>
      <sz val="9"/>
      <color rgb="FF595959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C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C3E2A"/>
      </patternFill>
    </fill>
    <fill>
      <patternFill patternType="solid">
        <fgColor rgb="FF3D5A3A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 style="medium">
        <color rgb="FF7F7F7F"/>
      </left>
      <right style="thin">
        <color rgb="FFBFBFBF"/>
      </right>
      <top style="medium">
        <color rgb="FF7F7F7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7F7F7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medium">
        <color rgb="FF7F7F7F"/>
      </top>
      <bottom style="thin">
        <color rgb="FFBFBFBF"/>
      </bottom>
      <diagonal/>
    </border>
    <border>
      <left style="medium">
        <color rgb="FF7F7F7F"/>
      </left>
      <right style="thin">
        <color rgb="FFBFBFBF"/>
      </right>
      <top style="medium">
        <color rgb="FF7F7F7F"/>
      </top>
      <bottom style="medium">
        <color rgb="FF7F7F7F"/>
      </bottom>
      <diagonal/>
    </border>
    <border>
      <left style="thin">
        <color rgb="FFBFBFBF"/>
      </left>
      <right style="thin">
        <color rgb="FFBFBFBF"/>
      </right>
      <top style="medium">
        <color rgb="FF7F7F7F"/>
      </top>
      <bottom style="medium">
        <color rgb="FF7F7F7F"/>
      </bottom>
      <diagonal/>
    </border>
    <border>
      <left style="thin">
        <color rgb="FFBFBFB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thin">
        <color rgb="FFBFBFBF"/>
      </top>
      <bottom style="thin">
        <color rgb="FFBFBFBF"/>
      </bottom>
      <diagonal/>
    </border>
    <border>
      <left style="medium">
        <color rgb="FF7F7F7F"/>
      </left>
      <right style="thin">
        <color rgb="FFBFBFBF"/>
      </right>
      <top style="medium">
        <color rgb="FF7F7F7F"/>
      </top>
      <bottom/>
      <diagonal/>
    </border>
    <border>
      <left style="thin">
        <color rgb="FFBFBFBF"/>
      </left>
      <right style="thin">
        <color rgb="FFBFBFBF"/>
      </right>
      <top style="medium">
        <color rgb="FF7F7F7F"/>
      </top>
      <bottom/>
      <diagonal/>
    </border>
    <border>
      <left style="thin">
        <color rgb="FFBFBFB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medium">
        <color rgb="FF7F7F7F"/>
      </right>
      <top/>
      <bottom/>
      <diagonal/>
    </border>
    <border>
      <left style="medium">
        <color rgb="FF7F7F7F"/>
      </left>
      <right style="thin">
        <color rgb="FFBFBFBF"/>
      </right>
      <top style="thin">
        <color rgb="FFBFBFBF"/>
      </top>
      <bottom style="medium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7F7F7F"/>
      </bottom>
      <diagonal/>
    </border>
    <border>
      <left style="thin">
        <color rgb="FFBFBFBF"/>
      </left>
      <right style="medium">
        <color rgb="FF7F7F7F"/>
      </right>
      <top style="thin">
        <color rgb="FFBFBFBF"/>
      </top>
      <bottom style="medium">
        <color rgb="FF7F7F7F"/>
      </bottom>
      <diagonal/>
    </border>
    <border>
      <left style="medium">
        <color rgb="FF7F7F7F"/>
      </left>
      <right style="thin">
        <color rgb="FFBFBFBF"/>
      </right>
      <top/>
      <bottom style="medium">
        <color rgb="FF7F7F7F"/>
      </bottom>
      <diagonal/>
    </border>
    <border>
      <left style="thin">
        <color rgb="FFBFBFBF"/>
      </left>
      <right style="thin">
        <color rgb="FFBFBFBF"/>
      </right>
      <top/>
      <bottom style="medium">
        <color rgb="FF7F7F7F"/>
      </bottom>
      <diagonal/>
    </border>
    <border>
      <left style="thin">
        <color rgb="FFBFBFBF"/>
      </left>
      <right style="medium">
        <color rgb="FF7F7F7F"/>
      </right>
      <top/>
      <bottom style="medium">
        <color rgb="FF7F7F7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49" fontId="5" fillId="0" borderId="8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4" fontId="5" fillId="0" borderId="8" xfId="0" applyNumberFormat="1" applyFont="1" applyBorder="1"/>
    <xf numFmtId="4" fontId="5" fillId="0" borderId="10" xfId="0" applyNumberFormat="1" applyFont="1" applyBorder="1"/>
    <xf numFmtId="164" fontId="5" fillId="0" borderId="8" xfId="0" applyNumberFormat="1" applyFont="1" applyBorder="1"/>
    <xf numFmtId="165" fontId="5" fillId="0" borderId="9" xfId="0" applyNumberFormat="1" applyFont="1" applyBorder="1"/>
    <xf numFmtId="3" fontId="5" fillId="0" borderId="10" xfId="0" applyNumberFormat="1" applyFont="1" applyBorder="1"/>
    <xf numFmtId="1" fontId="5" fillId="0" borderId="8" xfId="0" applyNumberFormat="1" applyFont="1" applyBorder="1"/>
    <xf numFmtId="1" fontId="5" fillId="0" borderId="9" xfId="0" applyNumberFormat="1" applyFont="1" applyBorder="1"/>
    <xf numFmtId="166" fontId="5" fillId="0" borderId="9" xfId="0" applyNumberFormat="1" applyFont="1" applyBorder="1"/>
    <xf numFmtId="0" fontId="6" fillId="0" borderId="10" xfId="0" applyFont="1" applyBorder="1" applyAlignment="1">
      <alignment horizontal="center"/>
    </xf>
    <xf numFmtId="4" fontId="2" fillId="0" borderId="11" xfId="0" applyNumberFormat="1" applyFont="1" applyBorder="1"/>
    <xf numFmtId="3" fontId="2" fillId="0" borderId="12" xfId="0" applyNumberFormat="1" applyFont="1" applyBorder="1"/>
    <xf numFmtId="165" fontId="2" fillId="0" borderId="13" xfId="0" applyNumberFormat="1" applyFont="1" applyBorder="1"/>
    <xf numFmtId="4" fontId="2" fillId="0" borderId="14" xfId="0" applyNumberFormat="1" applyFont="1" applyBorder="1"/>
    <xf numFmtId="3" fontId="2" fillId="0" borderId="15" xfId="0" applyNumberFormat="1" applyFont="1" applyBorder="1"/>
    <xf numFmtId="165" fontId="2" fillId="0" borderId="16" xfId="0" applyNumberFormat="1" applyFont="1" applyBorder="1"/>
    <xf numFmtId="49" fontId="5" fillId="0" borderId="17" xfId="0" applyNumberFormat="1" applyFont="1" applyBorder="1" applyAlignment="1">
      <alignment horizontal="center"/>
    </xf>
    <xf numFmtId="1" fontId="5" fillId="0" borderId="18" xfId="0" applyNumberFormat="1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4" fontId="5" fillId="0" borderId="17" xfId="0" applyNumberFormat="1" applyFont="1" applyBorder="1"/>
    <xf numFmtId="4" fontId="5" fillId="0" borderId="19" xfId="0" applyNumberFormat="1" applyFont="1" applyBorder="1"/>
    <xf numFmtId="164" fontId="2" fillId="0" borderId="17" xfId="0" applyNumberFormat="1" applyFont="1" applyBorder="1"/>
    <xf numFmtId="165" fontId="5" fillId="0" borderId="18" xfId="0" applyNumberFormat="1" applyFont="1" applyBorder="1"/>
    <xf numFmtId="3" fontId="2" fillId="0" borderId="19" xfId="0" applyNumberFormat="1" applyFont="1" applyBorder="1"/>
    <xf numFmtId="1" fontId="5" fillId="0" borderId="17" xfId="0" applyNumberFormat="1" applyFont="1" applyBorder="1"/>
    <xf numFmtId="1" fontId="5" fillId="0" borderId="18" xfId="0" applyNumberFormat="1" applyFont="1" applyBorder="1"/>
    <xf numFmtId="166" fontId="5" fillId="0" borderId="18" xfId="0" applyNumberFormat="1" applyFont="1" applyBorder="1"/>
    <xf numFmtId="0" fontId="6" fillId="0" borderId="19" xfId="0" applyFont="1" applyBorder="1" applyAlignment="1">
      <alignment horizontal="center"/>
    </xf>
    <xf numFmtId="4" fontId="2" fillId="0" borderId="20" xfId="0" applyNumberFormat="1" applyFont="1" applyBorder="1"/>
    <xf numFmtId="3" fontId="2" fillId="0" borderId="21" xfId="0" applyNumberFormat="1" applyFont="1" applyBorder="1"/>
    <xf numFmtId="165" fontId="2" fillId="0" borderId="2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D031D-D141-4847-ACC4-6C08D3D04003}">
  <dimension ref="A1:P190"/>
  <sheetViews>
    <sheetView tabSelected="1" workbookViewId="0">
      <selection activeCell="K15" sqref="K15"/>
    </sheetView>
  </sheetViews>
  <sheetFormatPr defaultRowHeight="15" x14ac:dyDescent="0.25"/>
  <cols>
    <col min="4" max="4" width="9.7109375" bestFit="1" customWidth="1"/>
    <col min="16" max="16" width="7.7109375" bestFit="1" customWidth="1"/>
  </cols>
  <sheetData>
    <row r="1" spans="1:16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</row>
    <row r="2" spans="1:16" ht="15.75" thickBot="1" x14ac:dyDescent="0.3">
      <c r="A2" s="3" t="s">
        <v>1</v>
      </c>
      <c r="B2" s="3"/>
      <c r="C2" s="3"/>
      <c r="D2" s="3"/>
      <c r="E2" s="4" t="s">
        <v>2</v>
      </c>
      <c r="F2" s="4" t="s">
        <v>3</v>
      </c>
      <c r="G2" s="4" t="s">
        <v>4</v>
      </c>
      <c r="H2" s="4" t="s">
        <v>2</v>
      </c>
      <c r="I2" s="4" t="s">
        <v>5</v>
      </c>
      <c r="J2" s="4" t="s">
        <v>6</v>
      </c>
      <c r="K2" s="4" t="s">
        <v>6</v>
      </c>
      <c r="L2" s="4" t="s">
        <v>7</v>
      </c>
      <c r="M2" s="3"/>
      <c r="N2" s="4" t="s">
        <v>8</v>
      </c>
      <c r="O2" s="4" t="s">
        <v>9</v>
      </c>
      <c r="P2" s="4" t="s">
        <v>10</v>
      </c>
    </row>
    <row r="3" spans="1:16" ht="45.75" thickBot="1" x14ac:dyDescent="0.3">
      <c r="A3" s="5" t="s">
        <v>11</v>
      </c>
      <c r="B3" s="6" t="s">
        <v>12</v>
      </c>
      <c r="C3" s="6" t="s">
        <v>13</v>
      </c>
      <c r="D3" s="7" t="s">
        <v>14</v>
      </c>
      <c r="E3" s="5" t="s">
        <v>15</v>
      </c>
      <c r="F3" s="7" t="s">
        <v>15</v>
      </c>
      <c r="G3" s="5" t="s">
        <v>16</v>
      </c>
      <c r="H3" s="6" t="s">
        <v>17</v>
      </c>
      <c r="I3" s="7" t="s">
        <v>18</v>
      </c>
      <c r="J3" s="5" t="s">
        <v>19</v>
      </c>
      <c r="K3" s="6" t="s">
        <v>20</v>
      </c>
      <c r="L3" s="6" t="s">
        <v>21</v>
      </c>
      <c r="M3" s="7" t="s">
        <v>22</v>
      </c>
      <c r="N3" s="8" t="s">
        <v>23</v>
      </c>
      <c r="O3" s="9" t="s">
        <v>24</v>
      </c>
      <c r="P3" s="10" t="s">
        <v>25</v>
      </c>
    </row>
    <row r="4" spans="1:16" x14ac:dyDescent="0.25">
      <c r="A4" s="11" t="s">
        <v>26</v>
      </c>
      <c r="B4" s="12">
        <v>2011</v>
      </c>
      <c r="C4" s="12">
        <v>1</v>
      </c>
      <c r="D4" s="13" t="s">
        <v>27</v>
      </c>
      <c r="E4" s="14">
        <v>970.54</v>
      </c>
      <c r="F4" s="15">
        <v>68.95</v>
      </c>
      <c r="G4" s="16">
        <v>71.042699999999996</v>
      </c>
      <c r="H4" s="17">
        <v>10381.700000000001</v>
      </c>
      <c r="I4" s="18">
        <v>32924</v>
      </c>
      <c r="J4" s="19">
        <v>0</v>
      </c>
      <c r="K4" s="20">
        <v>0</v>
      </c>
      <c r="L4" s="21">
        <v>0</v>
      </c>
      <c r="M4" s="22"/>
      <c r="N4" s="23">
        <v>96.95</v>
      </c>
      <c r="O4" s="24">
        <v>8514</v>
      </c>
      <c r="P4" s="25">
        <f t="shared" ref="P4:P67" si="0">IF(OR(N4="",O4=""),"",N4*O4/($N$4*$O$4)*100)</f>
        <v>100</v>
      </c>
    </row>
    <row r="5" spans="1:16" x14ac:dyDescent="0.25">
      <c r="A5" s="11" t="s">
        <v>28</v>
      </c>
      <c r="B5" s="12">
        <v>2011</v>
      </c>
      <c r="C5" s="12">
        <v>2</v>
      </c>
      <c r="D5" s="13" t="s">
        <v>27</v>
      </c>
      <c r="E5" s="14">
        <v>986.97</v>
      </c>
      <c r="F5" s="15">
        <v>70.239999999999995</v>
      </c>
      <c r="G5" s="16">
        <v>71.177800000000005</v>
      </c>
      <c r="H5" s="17">
        <v>11158.6</v>
      </c>
      <c r="I5" s="18">
        <v>33403</v>
      </c>
      <c r="J5" s="19">
        <v>0</v>
      </c>
      <c r="K5" s="20">
        <v>0</v>
      </c>
      <c r="L5" s="21">
        <v>0</v>
      </c>
      <c r="M5" s="22"/>
      <c r="N5" s="26">
        <v>104.24</v>
      </c>
      <c r="O5" s="27">
        <v>9020</v>
      </c>
      <c r="P5" s="28">
        <f t="shared" si="0"/>
        <v>113.90937815251473</v>
      </c>
    </row>
    <row r="6" spans="1:16" x14ac:dyDescent="0.25">
      <c r="A6" s="11" t="s">
        <v>29</v>
      </c>
      <c r="B6" s="12">
        <v>2011</v>
      </c>
      <c r="C6" s="12">
        <v>3</v>
      </c>
      <c r="D6" s="13" t="s">
        <v>27</v>
      </c>
      <c r="E6" s="14">
        <v>1102.98</v>
      </c>
      <c r="F6" s="15">
        <v>79.36</v>
      </c>
      <c r="G6" s="16">
        <v>71.983099999999993</v>
      </c>
      <c r="H6" s="17">
        <v>10730.6</v>
      </c>
      <c r="I6" s="18">
        <v>44604</v>
      </c>
      <c r="J6" s="19">
        <v>0</v>
      </c>
      <c r="K6" s="20">
        <v>0</v>
      </c>
      <c r="L6" s="21">
        <v>0</v>
      </c>
      <c r="M6" s="22"/>
      <c r="N6" s="26">
        <v>114.92</v>
      </c>
      <c r="O6" s="27">
        <v>8655</v>
      </c>
      <c r="P6" s="28">
        <f t="shared" si="0"/>
        <v>120.49838611840123</v>
      </c>
    </row>
    <row r="7" spans="1:16" x14ac:dyDescent="0.25">
      <c r="A7" s="11" t="s">
        <v>30</v>
      </c>
      <c r="B7" s="12">
        <v>2011</v>
      </c>
      <c r="C7" s="12">
        <v>4</v>
      </c>
      <c r="D7" s="13" t="s">
        <v>27</v>
      </c>
      <c r="E7" s="14">
        <v>1001.97</v>
      </c>
      <c r="F7" s="15">
        <v>72.959999999999994</v>
      </c>
      <c r="G7" s="16">
        <v>72.849400000000003</v>
      </c>
      <c r="H7" s="17">
        <v>11316.4</v>
      </c>
      <c r="I7" s="18">
        <v>43002</v>
      </c>
      <c r="J7" s="19">
        <v>0</v>
      </c>
      <c r="K7" s="20">
        <v>0</v>
      </c>
      <c r="L7" s="21">
        <v>0</v>
      </c>
      <c r="M7" s="22"/>
      <c r="N7" s="26">
        <v>123.33</v>
      </c>
      <c r="O7" s="27">
        <v>8820</v>
      </c>
      <c r="P7" s="28">
        <f t="shared" si="0"/>
        <v>131.78192808786378</v>
      </c>
    </row>
    <row r="8" spans="1:16" x14ac:dyDescent="0.25">
      <c r="A8" s="11" t="s">
        <v>31</v>
      </c>
      <c r="B8" s="12">
        <v>2011</v>
      </c>
      <c r="C8" s="12">
        <v>5</v>
      </c>
      <c r="D8" s="13" t="s">
        <v>27</v>
      </c>
      <c r="E8" s="14">
        <v>998.42</v>
      </c>
      <c r="F8" s="15">
        <v>73.069999999999993</v>
      </c>
      <c r="G8" s="16">
        <v>73.223699999999994</v>
      </c>
      <c r="H8" s="17">
        <v>10431.200000000001</v>
      </c>
      <c r="I8" s="18">
        <v>47825</v>
      </c>
      <c r="J8" s="19">
        <v>0</v>
      </c>
      <c r="K8" s="20">
        <v>0</v>
      </c>
      <c r="L8" s="21">
        <v>0</v>
      </c>
      <c r="M8" s="22"/>
      <c r="N8" s="26">
        <v>114.93</v>
      </c>
      <c r="O8" s="27">
        <v>8895</v>
      </c>
      <c r="P8" s="28">
        <f t="shared" si="0"/>
        <v>123.85053868136733</v>
      </c>
    </row>
    <row r="9" spans="1:16" x14ac:dyDescent="0.25">
      <c r="A9" s="11" t="s">
        <v>32</v>
      </c>
      <c r="B9" s="12">
        <v>2011</v>
      </c>
      <c r="C9" s="12">
        <v>6</v>
      </c>
      <c r="D9" s="13" t="s">
        <v>27</v>
      </c>
      <c r="E9" s="14">
        <v>1038.9100000000001</v>
      </c>
      <c r="F9" s="15">
        <v>76.75</v>
      </c>
      <c r="G9" s="16">
        <v>73.916600000000003</v>
      </c>
      <c r="H9" s="17">
        <v>10911.6</v>
      </c>
      <c r="I9" s="18">
        <v>49739</v>
      </c>
      <c r="J9" s="19">
        <v>0</v>
      </c>
      <c r="K9" s="20">
        <v>0</v>
      </c>
      <c r="L9" s="21">
        <v>0</v>
      </c>
      <c r="M9" s="22"/>
      <c r="N9" s="26">
        <v>114.37</v>
      </c>
      <c r="O9" s="27">
        <v>9813</v>
      </c>
      <c r="P9" s="28">
        <f t="shared" si="0"/>
        <v>135.96666982864616</v>
      </c>
    </row>
    <row r="10" spans="1:16" x14ac:dyDescent="0.25">
      <c r="A10" s="11" t="s">
        <v>33</v>
      </c>
      <c r="B10" s="12">
        <v>2011</v>
      </c>
      <c r="C10" s="12">
        <v>7</v>
      </c>
      <c r="D10" s="13" t="s">
        <v>34</v>
      </c>
      <c r="E10" s="14">
        <v>1015.58</v>
      </c>
      <c r="F10" s="15">
        <v>75.64</v>
      </c>
      <c r="G10" s="16">
        <v>74.484800000000007</v>
      </c>
      <c r="H10" s="17">
        <v>10381.299999999999</v>
      </c>
      <c r="I10" s="18">
        <v>50307</v>
      </c>
      <c r="J10" s="19">
        <v>0</v>
      </c>
      <c r="K10" s="20">
        <v>0</v>
      </c>
      <c r="L10" s="21">
        <v>0</v>
      </c>
      <c r="M10" s="22"/>
      <c r="N10" s="26">
        <v>117.48</v>
      </c>
      <c r="O10" s="27">
        <v>9606</v>
      </c>
      <c r="P10" s="28">
        <f t="shared" si="0"/>
        <v>136.71779987286664</v>
      </c>
    </row>
    <row r="11" spans="1:16" x14ac:dyDescent="0.25">
      <c r="A11" s="11" t="s">
        <v>35</v>
      </c>
      <c r="B11" s="12">
        <v>2011</v>
      </c>
      <c r="C11" s="12">
        <v>8</v>
      </c>
      <c r="D11" s="13" t="s">
        <v>34</v>
      </c>
      <c r="E11" s="14">
        <v>1101.79</v>
      </c>
      <c r="F11" s="15">
        <v>82.03</v>
      </c>
      <c r="G11" s="16">
        <v>74.5227</v>
      </c>
      <c r="H11" s="17">
        <v>10931.9</v>
      </c>
      <c r="I11" s="18">
        <v>46435</v>
      </c>
      <c r="J11" s="19">
        <v>1</v>
      </c>
      <c r="K11" s="20">
        <v>0</v>
      </c>
      <c r="L11" s="21">
        <v>0</v>
      </c>
      <c r="M11" s="22"/>
      <c r="N11" s="26">
        <v>110.35</v>
      </c>
      <c r="O11" s="27">
        <v>9756</v>
      </c>
      <c r="P11" s="28">
        <f t="shared" si="0"/>
        <v>130.42554792197976</v>
      </c>
    </row>
    <row r="12" spans="1:16" x14ac:dyDescent="0.25">
      <c r="A12" s="11" t="s">
        <v>36</v>
      </c>
      <c r="B12" s="12">
        <v>2011</v>
      </c>
      <c r="C12" s="12">
        <v>9</v>
      </c>
      <c r="D12" s="13" t="s">
        <v>34</v>
      </c>
      <c r="E12" s="14">
        <v>855.44</v>
      </c>
      <c r="F12" s="15">
        <v>63.79</v>
      </c>
      <c r="G12" s="16">
        <v>74.676900000000003</v>
      </c>
      <c r="H12" s="17">
        <v>9883.6</v>
      </c>
      <c r="I12" s="18">
        <v>52929</v>
      </c>
      <c r="J12" s="19">
        <v>0</v>
      </c>
      <c r="K12" s="20">
        <v>0</v>
      </c>
      <c r="L12" s="21">
        <v>0</v>
      </c>
      <c r="M12" s="22"/>
      <c r="N12" s="26">
        <v>111.96</v>
      </c>
      <c r="O12" s="27">
        <v>9436</v>
      </c>
      <c r="P12" s="28">
        <f t="shared" si="0"/>
        <v>127.98803245281292</v>
      </c>
    </row>
    <row r="13" spans="1:16" x14ac:dyDescent="0.25">
      <c r="A13" s="11" t="s">
        <v>37</v>
      </c>
      <c r="B13" s="12">
        <v>2011</v>
      </c>
      <c r="C13" s="12">
        <v>10</v>
      </c>
      <c r="D13" s="13" t="s">
        <v>34</v>
      </c>
      <c r="E13" s="14">
        <v>1039.48</v>
      </c>
      <c r="F13" s="15">
        <v>78.709999999999994</v>
      </c>
      <c r="G13" s="16">
        <v>75.741</v>
      </c>
      <c r="H13" s="17">
        <v>10338.299999999999</v>
      </c>
      <c r="I13" s="18">
        <v>57892</v>
      </c>
      <c r="J13" s="19">
        <v>0</v>
      </c>
      <c r="K13" s="20">
        <v>0</v>
      </c>
      <c r="L13" s="21">
        <v>0</v>
      </c>
      <c r="M13" s="22"/>
      <c r="N13" s="26">
        <v>110.43</v>
      </c>
      <c r="O13" s="27">
        <v>9362</v>
      </c>
      <c r="P13" s="28">
        <f t="shared" si="0"/>
        <v>125.24899498117531</v>
      </c>
    </row>
    <row r="14" spans="1:16" x14ac:dyDescent="0.25">
      <c r="A14" s="11" t="s">
        <v>38</v>
      </c>
      <c r="B14" s="12">
        <v>2011</v>
      </c>
      <c r="C14" s="12">
        <v>11</v>
      </c>
      <c r="D14" s="13" t="s">
        <v>34</v>
      </c>
      <c r="E14" s="14">
        <v>908.79</v>
      </c>
      <c r="F14" s="15">
        <v>69.5</v>
      </c>
      <c r="G14" s="16">
        <v>76.524699999999996</v>
      </c>
      <c r="H14" s="17">
        <v>9285.2000000000007</v>
      </c>
      <c r="I14" s="18">
        <v>54452</v>
      </c>
      <c r="J14" s="19">
        <v>0</v>
      </c>
      <c r="K14" s="20">
        <v>1</v>
      </c>
      <c r="L14" s="21">
        <v>0</v>
      </c>
      <c r="M14" s="22"/>
      <c r="N14" s="26">
        <v>111.16</v>
      </c>
      <c r="O14" s="27">
        <v>10047</v>
      </c>
      <c r="P14" s="28">
        <f t="shared" si="0"/>
        <v>135.30177096292451</v>
      </c>
    </row>
    <row r="15" spans="1:16" x14ac:dyDescent="0.25">
      <c r="A15" s="11" t="s">
        <v>39</v>
      </c>
      <c r="B15" s="12">
        <v>2011</v>
      </c>
      <c r="C15" s="12">
        <v>12</v>
      </c>
      <c r="D15" s="13" t="s">
        <v>34</v>
      </c>
      <c r="E15" s="14">
        <v>1147.22</v>
      </c>
      <c r="F15" s="15">
        <v>91.4</v>
      </c>
      <c r="G15" s="16">
        <v>79.685400000000001</v>
      </c>
      <c r="H15" s="17">
        <v>9634.9</v>
      </c>
      <c r="I15" s="18">
        <v>54550</v>
      </c>
      <c r="J15" s="19">
        <v>0</v>
      </c>
      <c r="K15" s="20">
        <v>0</v>
      </c>
      <c r="L15" s="21">
        <v>0</v>
      </c>
      <c r="M15" s="22"/>
      <c r="N15" s="26">
        <v>108.35</v>
      </c>
      <c r="O15" s="27">
        <v>9810</v>
      </c>
      <c r="P15" s="28">
        <f t="shared" si="0"/>
        <v>128.77052424529546</v>
      </c>
    </row>
    <row r="16" spans="1:16" x14ac:dyDescent="0.25">
      <c r="A16" s="11" t="s">
        <v>40</v>
      </c>
      <c r="B16" s="12">
        <v>2012</v>
      </c>
      <c r="C16" s="12">
        <v>1</v>
      </c>
      <c r="D16" s="13" t="s">
        <v>34</v>
      </c>
      <c r="E16" s="14">
        <v>1221.4100000000001</v>
      </c>
      <c r="F16" s="15">
        <v>101.89</v>
      </c>
      <c r="G16" s="16">
        <v>83.413499999999999</v>
      </c>
      <c r="H16" s="17">
        <v>9386.5</v>
      </c>
      <c r="I16" s="18">
        <v>67738</v>
      </c>
      <c r="J16" s="19">
        <v>0</v>
      </c>
      <c r="K16" s="20">
        <v>0</v>
      </c>
      <c r="L16" s="21">
        <v>0</v>
      </c>
      <c r="M16" s="22"/>
      <c r="N16" s="26">
        <v>111.42</v>
      </c>
      <c r="O16" s="27">
        <v>9871</v>
      </c>
      <c r="P16" s="28">
        <f t="shared" si="0"/>
        <v>133.24252273626803</v>
      </c>
    </row>
    <row r="17" spans="1:16" x14ac:dyDescent="0.25">
      <c r="A17" s="11" t="s">
        <v>41</v>
      </c>
      <c r="B17" s="12">
        <v>2012</v>
      </c>
      <c r="C17" s="12">
        <v>2</v>
      </c>
      <c r="D17" s="13" t="s">
        <v>34</v>
      </c>
      <c r="E17" s="14">
        <v>1133.01</v>
      </c>
      <c r="F17" s="15">
        <v>94.14</v>
      </c>
      <c r="G17" s="16">
        <v>83.110100000000003</v>
      </c>
      <c r="H17" s="17">
        <v>10066.799999999999</v>
      </c>
      <c r="I17" s="18">
        <v>60441</v>
      </c>
      <c r="J17" s="19">
        <v>0</v>
      </c>
      <c r="K17" s="20">
        <v>0</v>
      </c>
      <c r="L17" s="21">
        <v>0</v>
      </c>
      <c r="M17" s="22"/>
      <c r="N17" s="26">
        <v>119.17</v>
      </c>
      <c r="O17" s="27">
        <v>9853</v>
      </c>
      <c r="P17" s="28">
        <f t="shared" si="0"/>
        <v>142.25055283152838</v>
      </c>
    </row>
    <row r="18" spans="1:16" x14ac:dyDescent="0.25">
      <c r="A18" s="11" t="s">
        <v>42</v>
      </c>
      <c r="B18" s="12">
        <v>2012</v>
      </c>
      <c r="C18" s="12">
        <v>3</v>
      </c>
      <c r="D18" s="13" t="s">
        <v>34</v>
      </c>
      <c r="E18" s="14">
        <v>1109.1400000000001</v>
      </c>
      <c r="F18" s="15">
        <v>90.68</v>
      </c>
      <c r="G18" s="16">
        <v>81.800799999999995</v>
      </c>
      <c r="H18" s="17">
        <v>9579.4</v>
      </c>
      <c r="I18" s="18">
        <v>58102</v>
      </c>
      <c r="J18" s="19">
        <v>0</v>
      </c>
      <c r="K18" s="20">
        <v>0</v>
      </c>
      <c r="L18" s="21">
        <v>0</v>
      </c>
      <c r="M18" s="22"/>
      <c r="N18" s="26">
        <v>124.7</v>
      </c>
      <c r="O18" s="27">
        <v>9923</v>
      </c>
      <c r="P18" s="28">
        <f t="shared" si="0"/>
        <v>149.90909611848241</v>
      </c>
    </row>
    <row r="19" spans="1:16" x14ac:dyDescent="0.25">
      <c r="A19" s="11" t="s">
        <v>43</v>
      </c>
      <c r="B19" s="12">
        <v>2012</v>
      </c>
      <c r="C19" s="12">
        <v>4</v>
      </c>
      <c r="D19" s="13" t="s">
        <v>34</v>
      </c>
      <c r="E19" s="14">
        <v>1083.8900000000001</v>
      </c>
      <c r="F19" s="15">
        <v>88.68</v>
      </c>
      <c r="G19" s="16">
        <v>81.829899999999995</v>
      </c>
      <c r="H19" s="17">
        <v>10193</v>
      </c>
      <c r="I19" s="18">
        <v>63175</v>
      </c>
      <c r="J19" s="19">
        <v>0</v>
      </c>
      <c r="K19" s="20">
        <v>0</v>
      </c>
      <c r="L19" s="21">
        <v>0</v>
      </c>
      <c r="M19" s="22"/>
      <c r="N19" s="26">
        <v>120.47</v>
      </c>
      <c r="O19" s="27">
        <v>10102</v>
      </c>
      <c r="P19" s="28">
        <f t="shared" si="0"/>
        <v>147.43643300607451</v>
      </c>
    </row>
    <row r="20" spans="1:16" x14ac:dyDescent="0.25">
      <c r="A20" s="11" t="s">
        <v>44</v>
      </c>
      <c r="B20" s="12">
        <v>2012</v>
      </c>
      <c r="C20" s="12">
        <v>5</v>
      </c>
      <c r="D20" s="13" t="s">
        <v>34</v>
      </c>
      <c r="E20" s="14">
        <v>1156.82</v>
      </c>
      <c r="F20" s="15">
        <v>94.69</v>
      </c>
      <c r="G20" s="16">
        <v>81.857100000000003</v>
      </c>
      <c r="H20" s="17">
        <v>9520.4</v>
      </c>
      <c r="I20" s="18">
        <v>72271</v>
      </c>
      <c r="J20" s="19">
        <v>0</v>
      </c>
      <c r="K20" s="20">
        <v>0</v>
      </c>
      <c r="L20" s="21">
        <v>0</v>
      </c>
      <c r="M20" s="22"/>
      <c r="N20" s="26">
        <v>110.82</v>
      </c>
      <c r="O20" s="27">
        <v>9807</v>
      </c>
      <c r="P20" s="28">
        <f t="shared" si="0"/>
        <v>131.6657635035605</v>
      </c>
    </row>
    <row r="21" spans="1:16" x14ac:dyDescent="0.25">
      <c r="A21" s="11" t="s">
        <v>45</v>
      </c>
      <c r="B21" s="12">
        <v>2012</v>
      </c>
      <c r="C21" s="12">
        <v>6</v>
      </c>
      <c r="D21" s="13" t="s">
        <v>34</v>
      </c>
      <c r="E21" s="14">
        <v>1070.8599999999999</v>
      </c>
      <c r="F21" s="15">
        <v>87.67</v>
      </c>
      <c r="G21" s="16">
        <v>81.876599999999996</v>
      </c>
      <c r="H21" s="17">
        <v>10364.4</v>
      </c>
      <c r="I21" s="18">
        <v>53110</v>
      </c>
      <c r="J21" s="19">
        <v>0</v>
      </c>
      <c r="K21" s="20">
        <v>0</v>
      </c>
      <c r="L21" s="21">
        <v>0</v>
      </c>
      <c r="M21" s="22"/>
      <c r="N21" s="26">
        <v>95.89</v>
      </c>
      <c r="O21" s="27">
        <v>10103</v>
      </c>
      <c r="P21" s="28">
        <f t="shared" si="0"/>
        <v>117.36597538041582</v>
      </c>
    </row>
    <row r="22" spans="1:16" x14ac:dyDescent="0.25">
      <c r="A22" s="11" t="s">
        <v>46</v>
      </c>
      <c r="B22" s="12">
        <v>2012</v>
      </c>
      <c r="C22" s="12">
        <v>7</v>
      </c>
      <c r="D22" s="13" t="s">
        <v>47</v>
      </c>
      <c r="E22" s="14">
        <v>1201.1500000000001</v>
      </c>
      <c r="F22" s="15">
        <v>98.22</v>
      </c>
      <c r="G22" s="16">
        <v>81.773899999999998</v>
      </c>
      <c r="H22" s="17">
        <v>10569.8</v>
      </c>
      <c r="I22" s="18">
        <v>62713</v>
      </c>
      <c r="J22" s="19">
        <v>0</v>
      </c>
      <c r="K22" s="20">
        <v>0</v>
      </c>
      <c r="L22" s="21">
        <v>0</v>
      </c>
      <c r="M22" s="22"/>
      <c r="N22" s="26">
        <v>102.98</v>
      </c>
      <c r="O22" s="27">
        <v>9801</v>
      </c>
      <c r="P22" s="28">
        <f t="shared" si="0"/>
        <v>122.2761672883409</v>
      </c>
    </row>
    <row r="23" spans="1:16" x14ac:dyDescent="0.25">
      <c r="A23" s="11" t="s">
        <v>48</v>
      </c>
      <c r="B23" s="12">
        <v>2012</v>
      </c>
      <c r="C23" s="12">
        <v>8</v>
      </c>
      <c r="D23" s="13" t="s">
        <v>47</v>
      </c>
      <c r="E23" s="14">
        <v>1178.6500000000001</v>
      </c>
      <c r="F23" s="15">
        <v>96.08</v>
      </c>
      <c r="G23" s="16">
        <v>81.545900000000003</v>
      </c>
      <c r="H23" s="17">
        <v>11434.9</v>
      </c>
      <c r="I23" s="18">
        <v>43773</v>
      </c>
      <c r="J23" s="19">
        <v>1</v>
      </c>
      <c r="K23" s="20">
        <v>0</v>
      </c>
      <c r="L23" s="21">
        <v>0</v>
      </c>
      <c r="M23" s="22"/>
      <c r="N23" s="26">
        <v>113.78</v>
      </c>
      <c r="O23" s="27">
        <v>9753</v>
      </c>
      <c r="P23" s="28">
        <f t="shared" si="0"/>
        <v>134.43820165506003</v>
      </c>
    </row>
    <row r="24" spans="1:16" x14ac:dyDescent="0.25">
      <c r="A24" s="11" t="s">
        <v>49</v>
      </c>
      <c r="B24" s="12">
        <v>2012</v>
      </c>
      <c r="C24" s="12">
        <v>9</v>
      </c>
      <c r="D24" s="13" t="s">
        <v>47</v>
      </c>
      <c r="E24" s="14">
        <v>1178.83</v>
      </c>
      <c r="F24" s="15">
        <v>96.35</v>
      </c>
      <c r="G24" s="16">
        <v>81.739199999999997</v>
      </c>
      <c r="H24" s="17">
        <v>11252.1</v>
      </c>
      <c r="I24" s="18">
        <v>33161</v>
      </c>
      <c r="J24" s="19">
        <v>0</v>
      </c>
      <c r="K24" s="20">
        <v>0</v>
      </c>
      <c r="L24" s="21">
        <v>0</v>
      </c>
      <c r="M24" s="22"/>
      <c r="N24" s="26">
        <v>113.64</v>
      </c>
      <c r="O24" s="27">
        <v>9724</v>
      </c>
      <c r="P24" s="28">
        <f t="shared" si="0"/>
        <v>133.87353027013847</v>
      </c>
    </row>
    <row r="25" spans="1:16" x14ac:dyDescent="0.25">
      <c r="A25" s="11" t="s">
        <v>50</v>
      </c>
      <c r="B25" s="12">
        <v>2012</v>
      </c>
      <c r="C25" s="12">
        <v>10</v>
      </c>
      <c r="D25" s="13" t="s">
        <v>47</v>
      </c>
      <c r="E25" s="14">
        <v>1453.69</v>
      </c>
      <c r="F25" s="15">
        <v>118.2</v>
      </c>
      <c r="G25" s="16">
        <v>80.318899999999999</v>
      </c>
      <c r="H25" s="17">
        <v>12339.5</v>
      </c>
      <c r="I25" s="18">
        <v>29624</v>
      </c>
      <c r="J25" s="19">
        <v>0</v>
      </c>
      <c r="K25" s="20">
        <v>1</v>
      </c>
      <c r="L25" s="21">
        <v>0</v>
      </c>
      <c r="M25" s="22"/>
      <c r="N25" s="26">
        <v>111.79</v>
      </c>
      <c r="O25" s="27">
        <v>9724</v>
      </c>
      <c r="P25" s="28">
        <f t="shared" si="0"/>
        <v>131.69413893786322</v>
      </c>
    </row>
    <row r="26" spans="1:16" x14ac:dyDescent="0.25">
      <c r="A26" s="11" t="s">
        <v>51</v>
      </c>
      <c r="B26" s="12">
        <v>2012</v>
      </c>
      <c r="C26" s="12">
        <v>11</v>
      </c>
      <c r="D26" s="13" t="s">
        <v>47</v>
      </c>
      <c r="E26" s="14">
        <v>1102.1500000000001</v>
      </c>
      <c r="F26" s="15">
        <v>89.77</v>
      </c>
      <c r="G26" s="16">
        <v>81.484700000000004</v>
      </c>
      <c r="H26" s="17">
        <v>11753.9</v>
      </c>
      <c r="I26" s="18">
        <v>31281</v>
      </c>
      <c r="J26" s="19">
        <v>0</v>
      </c>
      <c r="K26" s="20">
        <v>0</v>
      </c>
      <c r="L26" s="21">
        <v>0</v>
      </c>
      <c r="M26" s="22"/>
      <c r="N26" s="26">
        <v>109.91</v>
      </c>
      <c r="O26" s="27">
        <v>9492</v>
      </c>
      <c r="P26" s="28">
        <f t="shared" si="0"/>
        <v>126.39022243253626</v>
      </c>
    </row>
    <row r="27" spans="1:16" x14ac:dyDescent="0.25">
      <c r="A27" s="11" t="s">
        <v>52</v>
      </c>
      <c r="B27" s="12">
        <v>2012</v>
      </c>
      <c r="C27" s="12">
        <v>12</v>
      </c>
      <c r="D27" s="13" t="s">
        <v>47</v>
      </c>
      <c r="E27" s="14">
        <v>1287.31</v>
      </c>
      <c r="F27" s="15">
        <v>103.67</v>
      </c>
      <c r="G27" s="16">
        <v>80.601299999999995</v>
      </c>
      <c r="H27" s="17">
        <v>12750.6</v>
      </c>
      <c r="I27" s="18">
        <v>32409</v>
      </c>
      <c r="J27" s="19">
        <v>0</v>
      </c>
      <c r="K27" s="20">
        <v>0</v>
      </c>
      <c r="L27" s="21">
        <v>0</v>
      </c>
      <c r="M27" s="22"/>
      <c r="N27" s="26">
        <v>109.57</v>
      </c>
      <c r="O27" s="27">
        <v>9025</v>
      </c>
      <c r="P27" s="28">
        <f t="shared" si="0"/>
        <v>119.8001641079468</v>
      </c>
    </row>
    <row r="28" spans="1:16" x14ac:dyDescent="0.25">
      <c r="A28" s="11" t="s">
        <v>53</v>
      </c>
      <c r="B28" s="12">
        <v>2013</v>
      </c>
      <c r="C28" s="12">
        <v>1</v>
      </c>
      <c r="D28" s="13" t="s">
        <v>47</v>
      </c>
      <c r="E28" s="14">
        <v>1326.99</v>
      </c>
      <c r="F28" s="15">
        <v>105.56</v>
      </c>
      <c r="G28" s="16">
        <v>79.531599999999997</v>
      </c>
      <c r="H28" s="17">
        <v>13076.5</v>
      </c>
      <c r="I28" s="18">
        <v>38337</v>
      </c>
      <c r="J28" s="19">
        <v>0</v>
      </c>
      <c r="K28" s="20">
        <v>0</v>
      </c>
      <c r="L28" s="21">
        <v>0</v>
      </c>
      <c r="M28" s="22"/>
      <c r="N28" s="26">
        <v>112.53</v>
      </c>
      <c r="O28" s="27">
        <v>9050</v>
      </c>
      <c r="P28" s="28">
        <f t="shared" si="0"/>
        <v>123.37735026845932</v>
      </c>
    </row>
    <row r="29" spans="1:16" x14ac:dyDescent="0.25">
      <c r="A29" s="11" t="s">
        <v>54</v>
      </c>
      <c r="B29" s="12">
        <v>2013</v>
      </c>
      <c r="C29" s="12">
        <v>2</v>
      </c>
      <c r="D29" s="13" t="s">
        <v>47</v>
      </c>
      <c r="E29" s="14">
        <v>1163.18</v>
      </c>
      <c r="F29" s="15">
        <v>91.9</v>
      </c>
      <c r="G29" s="16">
        <v>79.000699999999995</v>
      </c>
      <c r="H29" s="17">
        <v>13848.3</v>
      </c>
      <c r="I29" s="18">
        <v>32189</v>
      </c>
      <c r="J29" s="19">
        <v>0</v>
      </c>
      <c r="K29" s="20">
        <v>0</v>
      </c>
      <c r="L29" s="21">
        <v>0</v>
      </c>
      <c r="M29" s="22"/>
      <c r="N29" s="26">
        <v>116.49</v>
      </c>
      <c r="O29" s="27">
        <v>9150</v>
      </c>
      <c r="P29" s="28">
        <f t="shared" si="0"/>
        <v>129.13033570409104</v>
      </c>
    </row>
    <row r="30" spans="1:16" x14ac:dyDescent="0.25">
      <c r="A30" s="11" t="s">
        <v>55</v>
      </c>
      <c r="B30" s="12">
        <v>2013</v>
      </c>
      <c r="C30" s="12">
        <v>3</v>
      </c>
      <c r="D30" s="13" t="s">
        <v>47</v>
      </c>
      <c r="E30" s="14">
        <v>1229.3599999999999</v>
      </c>
      <c r="F30" s="15">
        <v>96.61</v>
      </c>
      <c r="G30" s="16">
        <v>78.585700000000003</v>
      </c>
      <c r="H30" s="17">
        <v>13971.1</v>
      </c>
      <c r="I30" s="18">
        <v>37100</v>
      </c>
      <c r="J30" s="19">
        <v>0</v>
      </c>
      <c r="K30" s="20">
        <v>0</v>
      </c>
      <c r="L30" s="21">
        <v>0</v>
      </c>
      <c r="M30" s="22"/>
      <c r="N30" s="26">
        <v>109.59</v>
      </c>
      <c r="O30" s="27">
        <v>9136</v>
      </c>
      <c r="P30" s="28">
        <f t="shared" si="0"/>
        <v>121.29574284892897</v>
      </c>
    </row>
    <row r="31" spans="1:16" x14ac:dyDescent="0.25">
      <c r="A31" s="11" t="s">
        <v>56</v>
      </c>
      <c r="B31" s="12">
        <v>2013</v>
      </c>
      <c r="C31" s="12">
        <v>4</v>
      </c>
      <c r="D31" s="13" t="s">
        <v>47</v>
      </c>
      <c r="E31" s="14">
        <v>1194.4000000000001</v>
      </c>
      <c r="F31" s="15">
        <v>93.2</v>
      </c>
      <c r="G31" s="16">
        <v>78.024900000000002</v>
      </c>
      <c r="H31" s="17">
        <v>14829.1</v>
      </c>
      <c r="I31" s="18">
        <v>32281</v>
      </c>
      <c r="J31" s="19">
        <v>0</v>
      </c>
      <c r="K31" s="20">
        <v>0</v>
      </c>
      <c r="L31" s="21">
        <v>0</v>
      </c>
      <c r="M31" s="22"/>
      <c r="N31" s="26">
        <v>102.96</v>
      </c>
      <c r="O31" s="27">
        <v>9310</v>
      </c>
      <c r="P31" s="28">
        <f t="shared" si="0"/>
        <v>116.12794895474769</v>
      </c>
    </row>
    <row r="32" spans="1:16" x14ac:dyDescent="0.25">
      <c r="A32" s="11" t="s">
        <v>57</v>
      </c>
      <c r="B32" s="12">
        <v>2013</v>
      </c>
      <c r="C32" s="12">
        <v>5</v>
      </c>
      <c r="D32" s="13" t="s">
        <v>47</v>
      </c>
      <c r="E32" s="14">
        <v>1087.19</v>
      </c>
      <c r="F32" s="15">
        <v>84.63</v>
      </c>
      <c r="G32" s="16">
        <v>77.8339</v>
      </c>
      <c r="H32" s="17">
        <v>14531.4</v>
      </c>
      <c r="I32" s="18">
        <v>34370</v>
      </c>
      <c r="J32" s="19">
        <v>0</v>
      </c>
      <c r="K32" s="20">
        <v>0</v>
      </c>
      <c r="L32" s="21">
        <v>0</v>
      </c>
      <c r="M32" s="22"/>
      <c r="N32" s="26">
        <v>102.98</v>
      </c>
      <c r="O32" s="27">
        <v>9657</v>
      </c>
      <c r="P32" s="28">
        <f t="shared" si="0"/>
        <v>120.47963957795204</v>
      </c>
    </row>
    <row r="33" spans="1:16" x14ac:dyDescent="0.25">
      <c r="A33" s="11" t="s">
        <v>58</v>
      </c>
      <c r="B33" s="12">
        <v>2013</v>
      </c>
      <c r="C33" s="12">
        <v>6</v>
      </c>
      <c r="D33" s="13" t="s">
        <v>47</v>
      </c>
      <c r="E33" s="14">
        <v>1058.25</v>
      </c>
      <c r="F33" s="15">
        <v>82.28</v>
      </c>
      <c r="G33" s="16">
        <v>77.752099999999999</v>
      </c>
      <c r="H33" s="17">
        <v>15315.2</v>
      </c>
      <c r="I33" s="18">
        <v>34063</v>
      </c>
      <c r="J33" s="19">
        <v>0</v>
      </c>
      <c r="K33" s="20">
        <v>0</v>
      </c>
      <c r="L33" s="21">
        <v>0</v>
      </c>
      <c r="M33" s="22"/>
      <c r="N33" s="26">
        <v>103.36</v>
      </c>
      <c r="O33" s="27">
        <v>9642</v>
      </c>
      <c r="P33" s="28">
        <f t="shared" si="0"/>
        <v>120.7363850433282</v>
      </c>
    </row>
    <row r="34" spans="1:16" x14ac:dyDescent="0.25">
      <c r="A34" s="11" t="s">
        <v>59</v>
      </c>
      <c r="B34" s="12">
        <v>2013</v>
      </c>
      <c r="C34" s="12">
        <v>7</v>
      </c>
      <c r="D34" s="13" t="s">
        <v>60</v>
      </c>
      <c r="E34" s="14">
        <v>1238.96</v>
      </c>
      <c r="F34" s="15">
        <v>96.34</v>
      </c>
      <c r="G34" s="16">
        <v>77.752499999999998</v>
      </c>
      <c r="H34" s="17">
        <v>15533.7</v>
      </c>
      <c r="I34" s="18">
        <v>37097</v>
      </c>
      <c r="J34" s="19">
        <v>0</v>
      </c>
      <c r="K34" s="20">
        <v>0</v>
      </c>
      <c r="L34" s="21">
        <v>0</v>
      </c>
      <c r="M34" s="22"/>
      <c r="N34" s="26">
        <v>107.78</v>
      </c>
      <c r="O34" s="27">
        <v>10034</v>
      </c>
      <c r="P34" s="28">
        <f t="shared" si="0"/>
        <v>131.01795507638846</v>
      </c>
    </row>
    <row r="35" spans="1:16" x14ac:dyDescent="0.25">
      <c r="A35" s="11" t="s">
        <v>61</v>
      </c>
      <c r="B35" s="12">
        <v>2013</v>
      </c>
      <c r="C35" s="12">
        <v>8</v>
      </c>
      <c r="D35" s="13" t="s">
        <v>60</v>
      </c>
      <c r="E35" s="14">
        <v>1005.77</v>
      </c>
      <c r="F35" s="15">
        <v>78.2</v>
      </c>
      <c r="G35" s="16">
        <v>77.750200000000007</v>
      </c>
      <c r="H35" s="17">
        <v>16252.3</v>
      </c>
      <c r="I35" s="18">
        <v>27949</v>
      </c>
      <c r="J35" s="19">
        <v>1</v>
      </c>
      <c r="K35" s="20">
        <v>0</v>
      </c>
      <c r="L35" s="21">
        <v>0</v>
      </c>
      <c r="M35" s="22"/>
      <c r="N35" s="26">
        <v>111.06</v>
      </c>
      <c r="O35" s="27">
        <v>10190</v>
      </c>
      <c r="P35" s="28">
        <f t="shared" si="0"/>
        <v>137.10408473232752</v>
      </c>
    </row>
    <row r="36" spans="1:16" x14ac:dyDescent="0.25">
      <c r="A36" s="11" t="s">
        <v>62</v>
      </c>
      <c r="B36" s="12">
        <v>2013</v>
      </c>
      <c r="C36" s="12">
        <v>9</v>
      </c>
      <c r="D36" s="13" t="s">
        <v>60</v>
      </c>
      <c r="E36" s="14">
        <v>1025.7</v>
      </c>
      <c r="F36" s="15">
        <v>79.75</v>
      </c>
      <c r="G36" s="16">
        <v>77.750100000000003</v>
      </c>
      <c r="H36" s="17">
        <v>16154.8</v>
      </c>
      <c r="I36" s="18">
        <v>35203</v>
      </c>
      <c r="J36" s="19">
        <v>0</v>
      </c>
      <c r="K36" s="20">
        <v>0</v>
      </c>
      <c r="L36" s="21">
        <v>0</v>
      </c>
      <c r="M36" s="22"/>
      <c r="N36" s="26">
        <v>111.96</v>
      </c>
      <c r="O36" s="27">
        <v>10123</v>
      </c>
      <c r="P36" s="28">
        <f t="shared" si="0"/>
        <v>137.30636419243586</v>
      </c>
    </row>
    <row r="37" spans="1:16" x14ac:dyDescent="0.25">
      <c r="A37" s="11" t="s">
        <v>63</v>
      </c>
      <c r="B37" s="12">
        <v>2013</v>
      </c>
      <c r="C37" s="12">
        <v>10</v>
      </c>
      <c r="D37" s="13" t="s">
        <v>60</v>
      </c>
      <c r="E37" s="14">
        <v>1230.68</v>
      </c>
      <c r="F37" s="15">
        <v>95.69</v>
      </c>
      <c r="G37" s="16">
        <v>77.750200000000007</v>
      </c>
      <c r="H37" s="17">
        <v>17345.400000000001</v>
      </c>
      <c r="I37" s="18">
        <v>33630</v>
      </c>
      <c r="J37" s="19">
        <v>0</v>
      </c>
      <c r="K37" s="20">
        <v>1</v>
      </c>
      <c r="L37" s="21">
        <v>0</v>
      </c>
      <c r="M37" s="22"/>
      <c r="N37" s="26">
        <v>109.62</v>
      </c>
      <c r="O37" s="27">
        <v>9753</v>
      </c>
      <c r="P37" s="28">
        <f t="shared" si="0"/>
        <v>129.5229009090146</v>
      </c>
    </row>
    <row r="38" spans="1:16" x14ac:dyDescent="0.25">
      <c r="A38" s="11" t="s">
        <v>64</v>
      </c>
      <c r="B38" s="12">
        <v>2013</v>
      </c>
      <c r="C38" s="12">
        <v>11</v>
      </c>
      <c r="D38" s="13" t="s">
        <v>60</v>
      </c>
      <c r="E38" s="14">
        <v>1061.45</v>
      </c>
      <c r="F38" s="15">
        <v>82.53</v>
      </c>
      <c r="G38" s="16">
        <v>77.750100000000003</v>
      </c>
      <c r="H38" s="17">
        <v>17105.900000000001</v>
      </c>
      <c r="I38" s="18">
        <v>29428</v>
      </c>
      <c r="J38" s="19">
        <v>0</v>
      </c>
      <c r="K38" s="20">
        <v>0</v>
      </c>
      <c r="L38" s="21">
        <v>0</v>
      </c>
      <c r="M38" s="22"/>
      <c r="N38" s="26">
        <v>108.15</v>
      </c>
      <c r="O38" s="27">
        <v>9746</v>
      </c>
      <c r="P38" s="28">
        <f t="shared" si="0"/>
        <v>127.69428819298689</v>
      </c>
    </row>
    <row r="39" spans="1:16" x14ac:dyDescent="0.25">
      <c r="A39" s="11" t="s">
        <v>65</v>
      </c>
      <c r="B39" s="12">
        <v>2013</v>
      </c>
      <c r="C39" s="12">
        <v>12</v>
      </c>
      <c r="D39" s="13" t="s">
        <v>60</v>
      </c>
      <c r="E39" s="14">
        <v>1210.21</v>
      </c>
      <c r="F39" s="15">
        <v>94.09</v>
      </c>
      <c r="G39" s="16">
        <v>77.750500000000002</v>
      </c>
      <c r="H39" s="17">
        <v>18094.599999999999</v>
      </c>
      <c r="I39" s="18">
        <v>37606</v>
      </c>
      <c r="J39" s="19">
        <v>0</v>
      </c>
      <c r="K39" s="20">
        <v>0</v>
      </c>
      <c r="L39" s="21">
        <v>0</v>
      </c>
      <c r="M39" s="22"/>
      <c r="N39" s="26">
        <v>111.07</v>
      </c>
      <c r="O39" s="27">
        <v>9819</v>
      </c>
      <c r="P39" s="28">
        <f t="shared" si="0"/>
        <v>132.12426143246392</v>
      </c>
    </row>
    <row r="40" spans="1:16" x14ac:dyDescent="0.25">
      <c r="A40" s="11" t="s">
        <v>66</v>
      </c>
      <c r="B40" s="12">
        <v>2014</v>
      </c>
      <c r="C40" s="12">
        <v>1</v>
      </c>
      <c r="D40" s="13" t="s">
        <v>60</v>
      </c>
      <c r="E40" s="14">
        <v>1260.6600000000001</v>
      </c>
      <c r="F40" s="15">
        <v>98.02</v>
      </c>
      <c r="G40" s="16">
        <v>77.750299999999996</v>
      </c>
      <c r="H40" s="17">
        <v>18119.099999999999</v>
      </c>
      <c r="I40" s="18">
        <v>34200</v>
      </c>
      <c r="J40" s="19">
        <v>0</v>
      </c>
      <c r="K40" s="20">
        <v>0</v>
      </c>
      <c r="L40" s="21">
        <v>0</v>
      </c>
      <c r="M40" s="22"/>
      <c r="N40" s="26">
        <v>107.93</v>
      </c>
      <c r="O40" s="27">
        <v>9767</v>
      </c>
      <c r="P40" s="28">
        <f t="shared" si="0"/>
        <v>127.70911799792665</v>
      </c>
    </row>
    <row r="41" spans="1:16" x14ac:dyDescent="0.25">
      <c r="A41" s="11" t="s">
        <v>67</v>
      </c>
      <c r="B41" s="12">
        <v>2014</v>
      </c>
      <c r="C41" s="12">
        <v>2</v>
      </c>
      <c r="D41" s="13" t="s">
        <v>60</v>
      </c>
      <c r="E41" s="14">
        <v>1173.1600000000001</v>
      </c>
      <c r="F41" s="15">
        <v>91.21</v>
      </c>
      <c r="G41" s="16">
        <v>77.750100000000003</v>
      </c>
      <c r="H41" s="17">
        <v>19150.5</v>
      </c>
      <c r="I41" s="18">
        <v>28510</v>
      </c>
      <c r="J41" s="19">
        <v>0</v>
      </c>
      <c r="K41" s="20">
        <v>0</v>
      </c>
      <c r="L41" s="21">
        <v>0</v>
      </c>
      <c r="M41" s="22"/>
      <c r="N41" s="26">
        <v>108.84</v>
      </c>
      <c r="O41" s="27">
        <v>9850</v>
      </c>
      <c r="P41" s="28">
        <f t="shared" si="0"/>
        <v>129.88030635583317</v>
      </c>
    </row>
    <row r="42" spans="1:16" x14ac:dyDescent="0.25">
      <c r="A42" s="11" t="s">
        <v>68</v>
      </c>
      <c r="B42" s="12">
        <v>2014</v>
      </c>
      <c r="C42" s="12">
        <v>3</v>
      </c>
      <c r="D42" s="13" t="s">
        <v>60</v>
      </c>
      <c r="E42" s="14">
        <v>1288.6199999999999</v>
      </c>
      <c r="F42" s="15">
        <v>100.14</v>
      </c>
      <c r="G42" s="16">
        <v>77.709400000000002</v>
      </c>
      <c r="H42" s="17">
        <v>19294.900000000001</v>
      </c>
      <c r="I42" s="18">
        <v>33358</v>
      </c>
      <c r="J42" s="19">
        <v>0</v>
      </c>
      <c r="K42" s="20">
        <v>0</v>
      </c>
      <c r="L42" s="21">
        <v>0</v>
      </c>
      <c r="M42" s="22"/>
      <c r="N42" s="26">
        <v>107.87</v>
      </c>
      <c r="O42" s="27">
        <v>9566</v>
      </c>
      <c r="P42" s="28">
        <f t="shared" si="0"/>
        <v>125.01139342378534</v>
      </c>
    </row>
    <row r="43" spans="1:16" x14ac:dyDescent="0.25">
      <c r="A43" s="11" t="s">
        <v>69</v>
      </c>
      <c r="B43" s="12">
        <v>2014</v>
      </c>
      <c r="C43" s="12">
        <v>4</v>
      </c>
      <c r="D43" s="13" t="s">
        <v>60</v>
      </c>
      <c r="E43" s="14">
        <v>1230.57</v>
      </c>
      <c r="F43" s="15">
        <v>95.57</v>
      </c>
      <c r="G43" s="16">
        <v>77.662300000000002</v>
      </c>
      <c r="H43" s="17">
        <v>20370.099999999999</v>
      </c>
      <c r="I43" s="18">
        <v>36611</v>
      </c>
      <c r="J43" s="19">
        <v>0</v>
      </c>
      <c r="K43" s="20">
        <v>0</v>
      </c>
      <c r="L43" s="21">
        <v>0</v>
      </c>
      <c r="M43" s="22"/>
      <c r="N43" s="26">
        <v>108</v>
      </c>
      <c r="O43" s="27">
        <v>9660</v>
      </c>
      <c r="P43" s="28">
        <f t="shared" si="0"/>
        <v>126.39195243510582</v>
      </c>
    </row>
    <row r="44" spans="1:16" x14ac:dyDescent="0.25">
      <c r="A44" s="11" t="s">
        <v>70</v>
      </c>
      <c r="B44" s="12">
        <v>2014</v>
      </c>
      <c r="C44" s="12">
        <v>5</v>
      </c>
      <c r="D44" s="13" t="s">
        <v>60</v>
      </c>
      <c r="E44" s="14">
        <v>1215.83</v>
      </c>
      <c r="F44" s="15">
        <v>94.4</v>
      </c>
      <c r="G44" s="16">
        <v>77.6404</v>
      </c>
      <c r="H44" s="17">
        <v>20267.5</v>
      </c>
      <c r="I44" s="18">
        <v>37430</v>
      </c>
      <c r="J44" s="19">
        <v>0</v>
      </c>
      <c r="K44" s="20">
        <v>0</v>
      </c>
      <c r="L44" s="21">
        <v>0</v>
      </c>
      <c r="M44" s="22"/>
      <c r="N44" s="26">
        <v>109.83</v>
      </c>
      <c r="O44" s="27">
        <v>9705</v>
      </c>
      <c r="P44" s="28">
        <f t="shared" si="0"/>
        <v>129.13235282893581</v>
      </c>
    </row>
    <row r="45" spans="1:16" x14ac:dyDescent="0.25">
      <c r="A45" s="11" t="s">
        <v>71</v>
      </c>
      <c r="B45" s="12">
        <v>2014</v>
      </c>
      <c r="C45" s="12">
        <v>6</v>
      </c>
      <c r="D45" s="13" t="s">
        <v>60</v>
      </c>
      <c r="E45" s="14">
        <v>1286.69</v>
      </c>
      <c r="F45" s="15">
        <v>99.89</v>
      </c>
      <c r="G45" s="16">
        <v>77.63</v>
      </c>
      <c r="H45" s="17">
        <v>21508</v>
      </c>
      <c r="I45" s="18">
        <v>37848</v>
      </c>
      <c r="J45" s="19">
        <v>0</v>
      </c>
      <c r="K45" s="20">
        <v>0</v>
      </c>
      <c r="L45" s="21">
        <v>0</v>
      </c>
      <c r="M45" s="22"/>
      <c r="N45" s="26">
        <v>112.24</v>
      </c>
      <c r="O45" s="27">
        <v>9780</v>
      </c>
      <c r="P45" s="28">
        <f t="shared" si="0"/>
        <v>132.9857336573817</v>
      </c>
    </row>
    <row r="46" spans="1:16" x14ac:dyDescent="0.25">
      <c r="A46" s="11" t="s">
        <v>72</v>
      </c>
      <c r="B46" s="12">
        <v>2014</v>
      </c>
      <c r="C46" s="12">
        <v>7</v>
      </c>
      <c r="D46" s="13" t="s">
        <v>73</v>
      </c>
      <c r="E46" s="14">
        <v>1492.47</v>
      </c>
      <c r="F46" s="15">
        <v>115.8</v>
      </c>
      <c r="G46" s="16">
        <v>77.593199999999996</v>
      </c>
      <c r="H46" s="17">
        <v>21383.5</v>
      </c>
      <c r="I46" s="18">
        <v>31851</v>
      </c>
      <c r="J46" s="19">
        <v>1</v>
      </c>
      <c r="K46" s="20">
        <v>0</v>
      </c>
      <c r="L46" s="21">
        <v>0</v>
      </c>
      <c r="M46" s="22"/>
      <c r="N46" s="26">
        <v>107.46</v>
      </c>
      <c r="O46" s="27">
        <v>10005</v>
      </c>
      <c r="P46" s="28">
        <f t="shared" si="0"/>
        <v>130.25142098267781</v>
      </c>
    </row>
    <row r="47" spans="1:16" x14ac:dyDescent="0.25">
      <c r="A47" s="11" t="s">
        <v>74</v>
      </c>
      <c r="B47" s="12">
        <v>2014</v>
      </c>
      <c r="C47" s="12">
        <v>8</v>
      </c>
      <c r="D47" s="13" t="s">
        <v>73</v>
      </c>
      <c r="E47" s="14">
        <v>1174.3699999999999</v>
      </c>
      <c r="F47" s="15">
        <v>90.96</v>
      </c>
      <c r="G47" s="16">
        <v>77.455799999999996</v>
      </c>
      <c r="H47" s="17">
        <v>22070.400000000001</v>
      </c>
      <c r="I47" s="18">
        <v>30373</v>
      </c>
      <c r="J47" s="19">
        <v>0</v>
      </c>
      <c r="K47" s="20">
        <v>0</v>
      </c>
      <c r="L47" s="21">
        <v>0</v>
      </c>
      <c r="M47" s="22"/>
      <c r="N47" s="26">
        <v>102.4</v>
      </c>
      <c r="O47" s="27">
        <v>9597</v>
      </c>
      <c r="P47" s="28">
        <f t="shared" si="0"/>
        <v>119.05674154016023</v>
      </c>
    </row>
    <row r="48" spans="1:16" x14ac:dyDescent="0.25">
      <c r="A48" s="11" t="s">
        <v>75</v>
      </c>
      <c r="B48" s="12">
        <v>2014</v>
      </c>
      <c r="C48" s="12">
        <v>9</v>
      </c>
      <c r="D48" s="13" t="s">
        <v>73</v>
      </c>
      <c r="E48" s="14">
        <v>1344.27</v>
      </c>
      <c r="F48" s="15">
        <v>104.05</v>
      </c>
      <c r="G48" s="16">
        <v>77.400000000000006</v>
      </c>
      <c r="H48" s="17">
        <v>21836.7</v>
      </c>
      <c r="I48" s="18">
        <v>38267</v>
      </c>
      <c r="J48" s="19">
        <v>0</v>
      </c>
      <c r="K48" s="20">
        <v>0</v>
      </c>
      <c r="L48" s="21">
        <v>0</v>
      </c>
      <c r="M48" s="22"/>
      <c r="N48" s="26">
        <v>97.85</v>
      </c>
      <c r="O48" s="27">
        <v>9704</v>
      </c>
      <c r="P48" s="28">
        <f t="shared" si="0"/>
        <v>115.03504284966797</v>
      </c>
    </row>
    <row r="49" spans="1:16" x14ac:dyDescent="0.25">
      <c r="A49" s="11" t="s">
        <v>76</v>
      </c>
      <c r="B49" s="12">
        <v>2014</v>
      </c>
      <c r="C49" s="12">
        <v>10</v>
      </c>
      <c r="D49" s="13" t="s">
        <v>73</v>
      </c>
      <c r="E49" s="14">
        <v>1018.03</v>
      </c>
      <c r="F49" s="15">
        <v>78.8</v>
      </c>
      <c r="G49" s="16">
        <v>77.400999999999996</v>
      </c>
      <c r="H49" s="17">
        <v>22312.400000000001</v>
      </c>
      <c r="I49" s="18">
        <v>30923</v>
      </c>
      <c r="J49" s="19">
        <v>0</v>
      </c>
      <c r="K49" s="20">
        <v>1</v>
      </c>
      <c r="L49" s="21">
        <v>0</v>
      </c>
      <c r="M49" s="22"/>
      <c r="N49" s="26">
        <v>87.58</v>
      </c>
      <c r="O49" s="27">
        <v>9690</v>
      </c>
      <c r="P49" s="28">
        <f t="shared" si="0"/>
        <v>102.81281699298657</v>
      </c>
    </row>
    <row r="50" spans="1:16" x14ac:dyDescent="0.25">
      <c r="A50" s="11" t="s">
        <v>77</v>
      </c>
      <c r="B50" s="12">
        <v>2014</v>
      </c>
      <c r="C50" s="12">
        <v>11</v>
      </c>
      <c r="D50" s="13" t="s">
        <v>73</v>
      </c>
      <c r="E50" s="14">
        <v>1182.95</v>
      </c>
      <c r="F50" s="15">
        <v>91.7</v>
      </c>
      <c r="G50" s="16">
        <v>77.517700000000005</v>
      </c>
      <c r="H50" s="17">
        <v>21590</v>
      </c>
      <c r="I50" s="18">
        <v>42927</v>
      </c>
      <c r="J50" s="19">
        <v>0</v>
      </c>
      <c r="K50" s="20">
        <v>0</v>
      </c>
      <c r="L50" s="21">
        <v>0</v>
      </c>
      <c r="M50" s="22"/>
      <c r="N50" s="26">
        <v>79.23</v>
      </c>
      <c r="O50" s="27">
        <v>9610</v>
      </c>
      <c r="P50" s="28">
        <f t="shared" si="0"/>
        <v>92.242610326734237</v>
      </c>
    </row>
    <row r="51" spans="1:16" x14ac:dyDescent="0.25">
      <c r="A51" s="11" t="s">
        <v>78</v>
      </c>
      <c r="B51" s="12">
        <v>2014</v>
      </c>
      <c r="C51" s="12">
        <v>12</v>
      </c>
      <c r="D51" s="13" t="s">
        <v>73</v>
      </c>
      <c r="E51" s="14">
        <v>1275.06</v>
      </c>
      <c r="F51" s="15">
        <v>99.27</v>
      </c>
      <c r="G51" s="16">
        <v>77.852199999999996</v>
      </c>
      <c r="H51" s="17">
        <v>22309.8</v>
      </c>
      <c r="I51" s="18">
        <v>43249</v>
      </c>
      <c r="J51" s="19">
        <v>0</v>
      </c>
      <c r="K51" s="20">
        <v>0</v>
      </c>
      <c r="L51" s="21">
        <v>0</v>
      </c>
      <c r="M51" s="22"/>
      <c r="N51" s="26">
        <v>62.9</v>
      </c>
      <c r="O51" s="27">
        <v>9630</v>
      </c>
      <c r="P51" s="28">
        <f t="shared" si="0"/>
        <v>73.383001852483844</v>
      </c>
    </row>
    <row r="52" spans="1:16" x14ac:dyDescent="0.25">
      <c r="A52" s="11" t="s">
        <v>79</v>
      </c>
      <c r="B52" s="12">
        <v>2015</v>
      </c>
      <c r="C52" s="12">
        <v>1</v>
      </c>
      <c r="D52" s="13" t="s">
        <v>73</v>
      </c>
      <c r="E52" s="14">
        <v>1243.25</v>
      </c>
      <c r="F52" s="15">
        <v>96.82</v>
      </c>
      <c r="G52" s="16">
        <v>77.871300000000005</v>
      </c>
      <c r="H52" s="17">
        <v>22042.3</v>
      </c>
      <c r="I52" s="18">
        <v>28333</v>
      </c>
      <c r="J52" s="19">
        <v>0</v>
      </c>
      <c r="K52" s="20">
        <v>0</v>
      </c>
      <c r="L52" s="21">
        <v>0</v>
      </c>
      <c r="M52" s="22"/>
      <c r="N52" s="26">
        <v>48.93</v>
      </c>
      <c r="O52" s="27">
        <v>9680</v>
      </c>
      <c r="P52" s="28">
        <f t="shared" si="0"/>
        <v>57.381132286681776</v>
      </c>
    </row>
    <row r="53" spans="1:16" x14ac:dyDescent="0.25">
      <c r="A53" s="11" t="s">
        <v>80</v>
      </c>
      <c r="B53" s="12">
        <v>2015</v>
      </c>
      <c r="C53" s="12">
        <v>2</v>
      </c>
      <c r="D53" s="13" t="s">
        <v>73</v>
      </c>
      <c r="E53" s="14">
        <v>1189.5999999999999</v>
      </c>
      <c r="F53" s="15">
        <v>92.55</v>
      </c>
      <c r="G53" s="16">
        <v>77.8</v>
      </c>
      <c r="H53" s="17">
        <v>23031.5</v>
      </c>
      <c r="I53" s="18">
        <v>35057</v>
      </c>
      <c r="J53" s="19">
        <v>0</v>
      </c>
      <c r="K53" s="20">
        <v>0</v>
      </c>
      <c r="L53" s="21">
        <v>0</v>
      </c>
      <c r="M53" s="22"/>
      <c r="N53" s="26">
        <v>58.25</v>
      </c>
      <c r="O53" s="27">
        <v>9636</v>
      </c>
      <c r="P53" s="28">
        <f t="shared" si="0"/>
        <v>68.000367807268987</v>
      </c>
    </row>
    <row r="54" spans="1:16" x14ac:dyDescent="0.25">
      <c r="A54" s="11" t="s">
        <v>81</v>
      </c>
      <c r="B54" s="12">
        <v>2015</v>
      </c>
      <c r="C54" s="12">
        <v>3</v>
      </c>
      <c r="D54" s="13" t="s">
        <v>73</v>
      </c>
      <c r="E54" s="14">
        <v>1338.31</v>
      </c>
      <c r="F54" s="15">
        <v>104.12</v>
      </c>
      <c r="G54" s="16">
        <v>77.8</v>
      </c>
      <c r="H54" s="17">
        <v>23053</v>
      </c>
      <c r="I54" s="18">
        <v>45319</v>
      </c>
      <c r="J54" s="19">
        <v>0</v>
      </c>
      <c r="K54" s="20">
        <v>0</v>
      </c>
      <c r="L54" s="21">
        <v>0</v>
      </c>
      <c r="M54" s="22"/>
      <c r="N54" s="26">
        <v>56.52</v>
      </c>
      <c r="O54" s="27">
        <v>10294</v>
      </c>
      <c r="P54" s="28">
        <f t="shared" si="0"/>
        <v>70.486323348383621</v>
      </c>
    </row>
    <row r="55" spans="1:16" x14ac:dyDescent="0.25">
      <c r="A55" s="11" t="s">
        <v>82</v>
      </c>
      <c r="B55" s="12">
        <v>2015</v>
      </c>
      <c r="C55" s="12">
        <v>4</v>
      </c>
      <c r="D55" s="13" t="s">
        <v>73</v>
      </c>
      <c r="E55" s="14">
        <v>1297.49</v>
      </c>
      <c r="F55" s="15">
        <v>100.94</v>
      </c>
      <c r="G55" s="16">
        <v>77.8</v>
      </c>
      <c r="H55" s="17">
        <v>24071.7</v>
      </c>
      <c r="I55" s="18">
        <v>44952</v>
      </c>
      <c r="J55" s="19">
        <v>0</v>
      </c>
      <c r="K55" s="20">
        <v>0</v>
      </c>
      <c r="L55" s="21">
        <v>0</v>
      </c>
      <c r="M55" s="22"/>
      <c r="N55" s="26">
        <v>59.83</v>
      </c>
      <c r="O55" s="27">
        <v>10308</v>
      </c>
      <c r="P55" s="28">
        <f t="shared" si="0"/>
        <v>74.715714420189272</v>
      </c>
    </row>
    <row r="56" spans="1:16" x14ac:dyDescent="0.25">
      <c r="A56" s="11" t="s">
        <v>83</v>
      </c>
      <c r="B56" s="12">
        <v>2015</v>
      </c>
      <c r="C56" s="12">
        <v>5</v>
      </c>
      <c r="D56" s="13" t="s">
        <v>73</v>
      </c>
      <c r="E56" s="14">
        <v>1321.77</v>
      </c>
      <c r="F56" s="15">
        <v>102.83</v>
      </c>
      <c r="G56" s="16">
        <v>77.8</v>
      </c>
      <c r="H56" s="17">
        <v>23707.7</v>
      </c>
      <c r="I56" s="18">
        <v>44910</v>
      </c>
      <c r="J56" s="19">
        <v>0</v>
      </c>
      <c r="K56" s="20">
        <v>0</v>
      </c>
      <c r="L56" s="21">
        <v>0</v>
      </c>
      <c r="M56" s="22"/>
      <c r="N56" s="26">
        <v>65.19</v>
      </c>
      <c r="O56" s="27">
        <v>10333</v>
      </c>
      <c r="P56" s="28">
        <f t="shared" si="0"/>
        <v>81.606725348644588</v>
      </c>
    </row>
    <row r="57" spans="1:16" x14ac:dyDescent="0.25">
      <c r="A57" s="11" t="s">
        <v>84</v>
      </c>
      <c r="B57" s="12">
        <v>2015</v>
      </c>
      <c r="C57" s="12">
        <v>6</v>
      </c>
      <c r="D57" s="13" t="s">
        <v>73</v>
      </c>
      <c r="E57" s="14">
        <v>1439.34</v>
      </c>
      <c r="F57" s="15">
        <v>111.98</v>
      </c>
      <c r="G57" s="16">
        <v>77.8</v>
      </c>
      <c r="H57" s="17">
        <v>25025.200000000001</v>
      </c>
      <c r="I57" s="18">
        <v>45668</v>
      </c>
      <c r="J57" s="19">
        <v>0</v>
      </c>
      <c r="K57" s="20">
        <v>0</v>
      </c>
      <c r="L57" s="21">
        <v>0</v>
      </c>
      <c r="M57" s="22"/>
      <c r="N57" s="26">
        <v>62.62</v>
      </c>
      <c r="O57" s="27">
        <v>10564</v>
      </c>
      <c r="P57" s="28">
        <f t="shared" si="0"/>
        <v>80.141966821506728</v>
      </c>
    </row>
    <row r="58" spans="1:16" x14ac:dyDescent="0.25">
      <c r="A58" s="11" t="s">
        <v>85</v>
      </c>
      <c r="B58" s="12">
        <v>2015</v>
      </c>
      <c r="C58" s="12">
        <v>7</v>
      </c>
      <c r="D58" s="13" t="s">
        <v>86</v>
      </c>
      <c r="E58" s="14">
        <v>1389.56</v>
      </c>
      <c r="F58" s="15">
        <v>108.11</v>
      </c>
      <c r="G58" s="16">
        <v>77.8</v>
      </c>
      <c r="H58" s="17">
        <v>25469.1</v>
      </c>
      <c r="I58" s="18">
        <v>43196</v>
      </c>
      <c r="J58" s="19">
        <v>1</v>
      </c>
      <c r="K58" s="20">
        <v>0</v>
      </c>
      <c r="L58" s="21">
        <v>0</v>
      </c>
      <c r="M58" s="22"/>
      <c r="N58" s="26">
        <v>56.83</v>
      </c>
      <c r="O58" s="27">
        <v>10361</v>
      </c>
      <c r="P58" s="28">
        <f t="shared" si="0"/>
        <v>71.334212387860276</v>
      </c>
    </row>
    <row r="59" spans="1:16" x14ac:dyDescent="0.25">
      <c r="A59" s="11" t="s">
        <v>87</v>
      </c>
      <c r="B59" s="12">
        <v>2015</v>
      </c>
      <c r="C59" s="12">
        <v>8</v>
      </c>
      <c r="D59" s="13" t="s">
        <v>86</v>
      </c>
      <c r="E59" s="14">
        <v>1195.02</v>
      </c>
      <c r="F59" s="15">
        <v>92.97</v>
      </c>
      <c r="G59" s="16">
        <v>77.8</v>
      </c>
      <c r="H59" s="17">
        <v>26175.3</v>
      </c>
      <c r="I59" s="18">
        <v>41765</v>
      </c>
      <c r="J59" s="19">
        <v>0</v>
      </c>
      <c r="K59" s="20">
        <v>0</v>
      </c>
      <c r="L59" s="21">
        <v>0</v>
      </c>
      <c r="M59" s="22"/>
      <c r="N59" s="26">
        <v>47.53</v>
      </c>
      <c r="O59" s="27">
        <v>10265</v>
      </c>
      <c r="P59" s="28">
        <f t="shared" si="0"/>
        <v>59.107869900414599</v>
      </c>
    </row>
    <row r="60" spans="1:16" x14ac:dyDescent="0.25">
      <c r="A60" s="11" t="s">
        <v>88</v>
      </c>
      <c r="B60" s="12">
        <v>2015</v>
      </c>
      <c r="C60" s="12">
        <v>9</v>
      </c>
      <c r="D60" s="13" t="s">
        <v>86</v>
      </c>
      <c r="E60" s="14">
        <v>1349.06</v>
      </c>
      <c r="F60" s="15">
        <v>104.96</v>
      </c>
      <c r="G60" s="16">
        <v>77.8001</v>
      </c>
      <c r="H60" s="17">
        <v>26379</v>
      </c>
      <c r="I60" s="18">
        <v>47277</v>
      </c>
      <c r="J60" s="19">
        <v>0</v>
      </c>
      <c r="K60" s="20">
        <v>1</v>
      </c>
      <c r="L60" s="21">
        <v>0</v>
      </c>
      <c r="M60" s="22"/>
      <c r="N60" s="26">
        <v>48.03</v>
      </c>
      <c r="O60" s="27">
        <v>10226</v>
      </c>
      <c r="P60" s="28">
        <f t="shared" si="0"/>
        <v>59.502733295026133</v>
      </c>
    </row>
    <row r="61" spans="1:16" x14ac:dyDescent="0.25">
      <c r="A61" s="11" t="s">
        <v>89</v>
      </c>
      <c r="B61" s="12">
        <v>2015</v>
      </c>
      <c r="C61" s="12">
        <v>10</v>
      </c>
      <c r="D61" s="13" t="s">
        <v>86</v>
      </c>
      <c r="E61" s="14">
        <v>1098.46</v>
      </c>
      <c r="F61" s="15">
        <v>85.48</v>
      </c>
      <c r="G61" s="16">
        <v>77.814300000000003</v>
      </c>
      <c r="H61" s="17">
        <v>27058.400000000001</v>
      </c>
      <c r="I61" s="18">
        <v>50829</v>
      </c>
      <c r="J61" s="19">
        <v>0</v>
      </c>
      <c r="K61" s="20">
        <v>0</v>
      </c>
      <c r="L61" s="21">
        <v>0</v>
      </c>
      <c r="M61" s="22"/>
      <c r="N61" s="26">
        <v>48.91</v>
      </c>
      <c r="O61" s="27">
        <v>10276</v>
      </c>
      <c r="P61" s="28">
        <f t="shared" si="0"/>
        <v>60.88920435994568</v>
      </c>
    </row>
    <row r="62" spans="1:16" x14ac:dyDescent="0.25">
      <c r="A62" s="11" t="s">
        <v>90</v>
      </c>
      <c r="B62" s="12">
        <v>2015</v>
      </c>
      <c r="C62" s="12">
        <v>11</v>
      </c>
      <c r="D62" s="13" t="s">
        <v>86</v>
      </c>
      <c r="E62" s="14">
        <v>1142.49</v>
      </c>
      <c r="F62" s="15">
        <v>89.72</v>
      </c>
      <c r="G62" s="16">
        <v>78.510999999999996</v>
      </c>
      <c r="H62" s="17">
        <v>26407.599999999999</v>
      </c>
      <c r="I62" s="18">
        <v>63440</v>
      </c>
      <c r="J62" s="19">
        <v>0</v>
      </c>
      <c r="K62" s="20">
        <v>0</v>
      </c>
      <c r="L62" s="21">
        <v>0</v>
      </c>
      <c r="M62" s="22"/>
      <c r="N62" s="26">
        <v>45.1</v>
      </c>
      <c r="O62" s="27">
        <v>10186</v>
      </c>
      <c r="P62" s="28">
        <f t="shared" si="0"/>
        <v>55.654303811469461</v>
      </c>
    </row>
    <row r="63" spans="1:16" x14ac:dyDescent="0.25">
      <c r="A63" s="11" t="s">
        <v>91</v>
      </c>
      <c r="B63" s="12">
        <v>2015</v>
      </c>
      <c r="C63" s="12">
        <v>12</v>
      </c>
      <c r="D63" s="13" t="s">
        <v>86</v>
      </c>
      <c r="E63" s="14">
        <v>1312.6</v>
      </c>
      <c r="F63" s="15">
        <v>103.42</v>
      </c>
      <c r="G63" s="16">
        <v>78.766199999999998</v>
      </c>
      <c r="H63" s="17">
        <v>27493.3</v>
      </c>
      <c r="I63" s="18">
        <v>65135</v>
      </c>
      <c r="J63" s="19">
        <v>0</v>
      </c>
      <c r="K63" s="20">
        <v>0</v>
      </c>
      <c r="L63" s="21">
        <v>0</v>
      </c>
      <c r="M63" s="22"/>
      <c r="N63" s="26">
        <v>38.53</v>
      </c>
      <c r="O63" s="27">
        <v>10144</v>
      </c>
      <c r="P63" s="28">
        <f t="shared" si="0"/>
        <v>47.350742150507067</v>
      </c>
    </row>
    <row r="64" spans="1:16" x14ac:dyDescent="0.25">
      <c r="A64" s="11" t="s">
        <v>92</v>
      </c>
      <c r="B64" s="12">
        <v>2016</v>
      </c>
      <c r="C64" s="12">
        <v>1</v>
      </c>
      <c r="D64" s="13" t="s">
        <v>86</v>
      </c>
      <c r="E64" s="14">
        <v>1150.6400000000001</v>
      </c>
      <c r="F64" s="15">
        <v>90.33</v>
      </c>
      <c r="G64" s="16">
        <v>78.500100000000003</v>
      </c>
      <c r="H64" s="17">
        <v>27138.9</v>
      </c>
      <c r="I64" s="18">
        <v>63998</v>
      </c>
      <c r="J64" s="19">
        <v>0</v>
      </c>
      <c r="K64" s="20">
        <v>0</v>
      </c>
      <c r="L64" s="21">
        <v>0</v>
      </c>
      <c r="M64" s="22"/>
      <c r="N64" s="26">
        <v>32.049999999999997</v>
      </c>
      <c r="O64" s="27">
        <v>10230</v>
      </c>
      <c r="P64" s="28">
        <f t="shared" si="0"/>
        <v>39.721186098484388</v>
      </c>
    </row>
    <row r="65" spans="1:16" x14ac:dyDescent="0.25">
      <c r="A65" s="11" t="s">
        <v>93</v>
      </c>
      <c r="B65" s="12">
        <v>2016</v>
      </c>
      <c r="C65" s="12">
        <v>2</v>
      </c>
      <c r="D65" s="13" t="s">
        <v>86</v>
      </c>
      <c r="E65" s="14">
        <v>1136.26</v>
      </c>
      <c r="F65" s="15">
        <v>89.26</v>
      </c>
      <c r="G65" s="16">
        <v>78.551599999999993</v>
      </c>
      <c r="H65" s="17">
        <v>28058.6</v>
      </c>
      <c r="I65" s="18">
        <v>62024</v>
      </c>
      <c r="J65" s="19">
        <v>0</v>
      </c>
      <c r="K65" s="20">
        <v>0</v>
      </c>
      <c r="L65" s="21">
        <v>0</v>
      </c>
      <c r="M65" s="22"/>
      <c r="N65" s="26">
        <v>33.76</v>
      </c>
      <c r="O65" s="27">
        <v>10220</v>
      </c>
      <c r="P65" s="28">
        <f t="shared" si="0"/>
        <v>41.799575810154259</v>
      </c>
    </row>
    <row r="66" spans="1:16" x14ac:dyDescent="0.25">
      <c r="A66" s="11" t="s">
        <v>94</v>
      </c>
      <c r="B66" s="12">
        <v>2016</v>
      </c>
      <c r="C66" s="12">
        <v>3</v>
      </c>
      <c r="D66" s="13" t="s">
        <v>86</v>
      </c>
      <c r="E66" s="14">
        <v>1285.5899999999999</v>
      </c>
      <c r="F66" s="15">
        <v>100.81</v>
      </c>
      <c r="G66" s="16">
        <v>78.413399999999996</v>
      </c>
      <c r="H66" s="17">
        <v>28265.9</v>
      </c>
      <c r="I66" s="18">
        <v>64846</v>
      </c>
      <c r="J66" s="19">
        <v>0</v>
      </c>
      <c r="K66" s="20">
        <v>0</v>
      </c>
      <c r="L66" s="21">
        <v>0</v>
      </c>
      <c r="M66" s="22"/>
      <c r="N66" s="26">
        <v>39.79</v>
      </c>
      <c r="O66" s="27">
        <v>10224</v>
      </c>
      <c r="P66" s="28">
        <f t="shared" si="0"/>
        <v>49.284836563822374</v>
      </c>
    </row>
    <row r="67" spans="1:16" x14ac:dyDescent="0.25">
      <c r="A67" s="11" t="s">
        <v>95</v>
      </c>
      <c r="B67" s="12">
        <v>2016</v>
      </c>
      <c r="C67" s="12">
        <v>4</v>
      </c>
      <c r="D67" s="13" t="s">
        <v>86</v>
      </c>
      <c r="E67" s="14">
        <v>1191.1500000000001</v>
      </c>
      <c r="F67" s="15">
        <v>93.39</v>
      </c>
      <c r="G67" s="16">
        <v>78.400000000000006</v>
      </c>
      <c r="H67" s="17">
        <v>29106.3</v>
      </c>
      <c r="I67" s="18">
        <v>58993</v>
      </c>
      <c r="J67" s="19">
        <v>0</v>
      </c>
      <c r="K67" s="20">
        <v>0</v>
      </c>
      <c r="L67" s="21">
        <v>0</v>
      </c>
      <c r="M67" s="22"/>
      <c r="N67" s="26">
        <v>43.33</v>
      </c>
      <c r="O67" s="27">
        <v>10262</v>
      </c>
      <c r="P67" s="28">
        <f t="shared" si="0"/>
        <v>53.869040501565046</v>
      </c>
    </row>
    <row r="68" spans="1:16" x14ac:dyDescent="0.25">
      <c r="A68" s="11" t="s">
        <v>96</v>
      </c>
      <c r="B68" s="12">
        <v>2016</v>
      </c>
      <c r="C68" s="12">
        <v>5</v>
      </c>
      <c r="D68" s="13" t="s">
        <v>86</v>
      </c>
      <c r="E68" s="14">
        <v>1214.48</v>
      </c>
      <c r="F68" s="15">
        <v>95.22</v>
      </c>
      <c r="G68" s="16">
        <v>78.400000000000006</v>
      </c>
      <c r="H68" s="17">
        <v>28802.9</v>
      </c>
      <c r="I68" s="18">
        <v>60909</v>
      </c>
      <c r="J68" s="19">
        <v>0</v>
      </c>
      <c r="K68" s="20">
        <v>0</v>
      </c>
      <c r="L68" s="21">
        <v>0</v>
      </c>
      <c r="M68" s="22"/>
      <c r="N68" s="26">
        <v>47.73</v>
      </c>
      <c r="O68" s="27">
        <v>10270</v>
      </c>
      <c r="P68" s="28">
        <f t="shared" ref="P68:P131" si="1">IF(OR(N68="",O68=""),"",N68*O68/($N$4*$O$4)*100)</f>
        <v>59.385500179724005</v>
      </c>
    </row>
    <row r="69" spans="1:16" x14ac:dyDescent="0.25">
      <c r="A69" s="11" t="s">
        <v>97</v>
      </c>
      <c r="B69" s="12">
        <v>2016</v>
      </c>
      <c r="C69" s="12">
        <v>6</v>
      </c>
      <c r="D69" s="13" t="s">
        <v>86</v>
      </c>
      <c r="E69" s="14">
        <v>1465.87</v>
      </c>
      <c r="F69" s="15">
        <v>114.92</v>
      </c>
      <c r="G69" s="16">
        <v>78.400000000000006</v>
      </c>
      <c r="H69" s="17">
        <v>30168.2</v>
      </c>
      <c r="I69" s="18">
        <v>62125</v>
      </c>
      <c r="J69" s="19">
        <v>0</v>
      </c>
      <c r="K69" s="20">
        <v>0</v>
      </c>
      <c r="L69" s="21">
        <v>0</v>
      </c>
      <c r="M69" s="22"/>
      <c r="N69" s="26">
        <v>49.88</v>
      </c>
      <c r="O69" s="27">
        <v>10550</v>
      </c>
      <c r="P69" s="28">
        <f t="shared" si="1"/>
        <v>63.752533066612486</v>
      </c>
    </row>
    <row r="70" spans="1:16" x14ac:dyDescent="0.25">
      <c r="A70" s="11" t="s">
        <v>98</v>
      </c>
      <c r="B70" s="12">
        <v>2016</v>
      </c>
      <c r="C70" s="12">
        <v>7</v>
      </c>
      <c r="D70" s="13" t="s">
        <v>99</v>
      </c>
      <c r="E70" s="14">
        <v>1005.51</v>
      </c>
      <c r="F70" s="15">
        <v>78.83</v>
      </c>
      <c r="G70" s="16">
        <v>78.400000000000006</v>
      </c>
      <c r="H70" s="17">
        <v>30039.3</v>
      </c>
      <c r="I70" s="18">
        <v>48321</v>
      </c>
      <c r="J70" s="19">
        <v>1</v>
      </c>
      <c r="K70" s="20">
        <v>0</v>
      </c>
      <c r="L70" s="21">
        <v>0</v>
      </c>
      <c r="M70" s="22"/>
      <c r="N70" s="26">
        <v>46.6</v>
      </c>
      <c r="O70" s="27">
        <v>10673</v>
      </c>
      <c r="P70" s="28">
        <f t="shared" si="1"/>
        <v>60.254705322289901</v>
      </c>
    </row>
    <row r="71" spans="1:16" x14ac:dyDescent="0.25">
      <c r="A71" s="11" t="s">
        <v>100</v>
      </c>
      <c r="B71" s="12">
        <v>2016</v>
      </c>
      <c r="C71" s="12">
        <v>8</v>
      </c>
      <c r="D71" s="13" t="s">
        <v>99</v>
      </c>
      <c r="E71" s="14">
        <v>1183.6099999999999</v>
      </c>
      <c r="F71" s="15">
        <v>92.79</v>
      </c>
      <c r="G71" s="16">
        <v>78.400000000000006</v>
      </c>
      <c r="H71" s="17">
        <v>31165.1</v>
      </c>
      <c r="I71" s="18">
        <v>69190</v>
      </c>
      <c r="J71" s="19">
        <v>0</v>
      </c>
      <c r="K71" s="20">
        <v>0</v>
      </c>
      <c r="L71" s="21">
        <v>0</v>
      </c>
      <c r="M71" s="22"/>
      <c r="N71" s="26">
        <v>47.05</v>
      </c>
      <c r="O71" s="27">
        <v>10630</v>
      </c>
      <c r="P71" s="28">
        <f t="shared" si="1"/>
        <v>60.591462195021919</v>
      </c>
    </row>
    <row r="72" spans="1:16" x14ac:dyDescent="0.25">
      <c r="A72" s="11" t="s">
        <v>101</v>
      </c>
      <c r="B72" s="12">
        <v>2016</v>
      </c>
      <c r="C72" s="12">
        <v>9</v>
      </c>
      <c r="D72" s="13" t="s">
        <v>99</v>
      </c>
      <c r="E72" s="14">
        <v>1056.6400000000001</v>
      </c>
      <c r="F72" s="15">
        <v>82.84</v>
      </c>
      <c r="G72" s="16">
        <v>78.400000000000006</v>
      </c>
      <c r="H72" s="17">
        <v>31385.9</v>
      </c>
      <c r="I72" s="18">
        <v>55869</v>
      </c>
      <c r="J72" s="19">
        <v>0</v>
      </c>
      <c r="K72" s="20">
        <v>1</v>
      </c>
      <c r="L72" s="21">
        <v>0</v>
      </c>
      <c r="M72" s="22"/>
      <c r="N72" s="26">
        <v>47.38</v>
      </c>
      <c r="O72" s="27">
        <v>10650</v>
      </c>
      <c r="P72" s="28">
        <f t="shared" si="1"/>
        <v>61.13123995753498</v>
      </c>
    </row>
    <row r="73" spans="1:16" x14ac:dyDescent="0.25">
      <c r="A73" s="11" t="s">
        <v>102</v>
      </c>
      <c r="B73" s="12">
        <v>2016</v>
      </c>
      <c r="C73" s="12">
        <v>10</v>
      </c>
      <c r="D73" s="13" t="s">
        <v>99</v>
      </c>
      <c r="E73" s="14">
        <v>1010.99</v>
      </c>
      <c r="F73" s="15">
        <v>79.260000000000005</v>
      </c>
      <c r="G73" s="16">
        <v>78.400800000000004</v>
      </c>
      <c r="H73" s="17">
        <v>31895.3</v>
      </c>
      <c r="I73" s="18">
        <v>61111</v>
      </c>
      <c r="J73" s="19">
        <v>0</v>
      </c>
      <c r="K73" s="20">
        <v>0</v>
      </c>
      <c r="L73" s="21">
        <v>0</v>
      </c>
      <c r="M73" s="22"/>
      <c r="N73" s="26">
        <v>51.41</v>
      </c>
      <c r="O73" s="27">
        <v>10625</v>
      </c>
      <c r="P73" s="28">
        <f t="shared" si="1"/>
        <v>66.175172694356647</v>
      </c>
    </row>
    <row r="74" spans="1:16" x14ac:dyDescent="0.25">
      <c r="A74" s="11" t="s">
        <v>103</v>
      </c>
      <c r="B74" s="12">
        <v>2016</v>
      </c>
      <c r="C74" s="12">
        <v>11</v>
      </c>
      <c r="D74" s="13" t="s">
        <v>99</v>
      </c>
      <c r="E74" s="14">
        <v>951.37</v>
      </c>
      <c r="F74" s="15">
        <v>74.72</v>
      </c>
      <c r="G74" s="16">
        <v>78.547200000000004</v>
      </c>
      <c r="H74" s="17">
        <v>31370.9</v>
      </c>
      <c r="I74" s="18">
        <v>81483</v>
      </c>
      <c r="J74" s="19">
        <v>0</v>
      </c>
      <c r="K74" s="20">
        <v>0</v>
      </c>
      <c r="L74" s="21">
        <v>0</v>
      </c>
      <c r="M74" s="22"/>
      <c r="N74" s="26">
        <v>46.94</v>
      </c>
      <c r="O74" s="27">
        <v>10720</v>
      </c>
      <c r="P74" s="28">
        <f t="shared" si="1"/>
        <v>60.961607632751949</v>
      </c>
    </row>
    <row r="75" spans="1:16" x14ac:dyDescent="0.25">
      <c r="A75" s="11" t="s">
        <v>104</v>
      </c>
      <c r="B75" s="12">
        <v>2016</v>
      </c>
      <c r="C75" s="12">
        <v>12</v>
      </c>
      <c r="D75" s="13" t="s">
        <v>99</v>
      </c>
      <c r="E75" s="14">
        <v>958.73</v>
      </c>
      <c r="F75" s="15">
        <v>75.55</v>
      </c>
      <c r="G75" s="16">
        <v>78.804000000000002</v>
      </c>
      <c r="H75" s="17">
        <v>32092.2</v>
      </c>
      <c r="I75" s="18">
        <v>68862</v>
      </c>
      <c r="J75" s="19">
        <v>0</v>
      </c>
      <c r="K75" s="20">
        <v>0</v>
      </c>
      <c r="L75" s="21">
        <v>0</v>
      </c>
      <c r="M75" s="22"/>
      <c r="N75" s="26">
        <v>55.02</v>
      </c>
      <c r="O75" s="27">
        <v>10465</v>
      </c>
      <c r="P75" s="28">
        <f t="shared" si="1"/>
        <v>69.755484489763731</v>
      </c>
    </row>
    <row r="76" spans="1:16" x14ac:dyDescent="0.25">
      <c r="A76" s="11" t="s">
        <v>105</v>
      </c>
      <c r="B76" s="12">
        <v>2017</v>
      </c>
      <c r="C76" s="12">
        <v>1</v>
      </c>
      <c r="D76" s="13" t="s">
        <v>99</v>
      </c>
      <c r="E76" s="14">
        <v>1009.47</v>
      </c>
      <c r="F76" s="15">
        <v>79.599999999999994</v>
      </c>
      <c r="G76" s="16">
        <v>78.853399999999993</v>
      </c>
      <c r="H76" s="17">
        <v>31724.2</v>
      </c>
      <c r="I76" s="18">
        <v>81434</v>
      </c>
      <c r="J76" s="19">
        <v>0</v>
      </c>
      <c r="K76" s="20">
        <v>0</v>
      </c>
      <c r="L76" s="21">
        <v>0</v>
      </c>
      <c r="M76" s="22"/>
      <c r="N76" s="26">
        <v>55.71</v>
      </c>
      <c r="O76" s="27">
        <v>9796</v>
      </c>
      <c r="P76" s="28">
        <f t="shared" si="1"/>
        <v>66.115072065873846</v>
      </c>
    </row>
    <row r="77" spans="1:16" x14ac:dyDescent="0.25">
      <c r="A77" s="11" t="s">
        <v>106</v>
      </c>
      <c r="B77" s="12">
        <v>2017</v>
      </c>
      <c r="C77" s="12">
        <v>2</v>
      </c>
      <c r="D77" s="13" t="s">
        <v>99</v>
      </c>
      <c r="E77" s="14">
        <v>940.75</v>
      </c>
      <c r="F77" s="15">
        <v>74.540000000000006</v>
      </c>
      <c r="G77" s="16">
        <v>79.236000000000004</v>
      </c>
      <c r="H77" s="17">
        <v>32556.7</v>
      </c>
      <c r="I77" s="18">
        <v>85038</v>
      </c>
      <c r="J77" s="19">
        <v>0</v>
      </c>
      <c r="K77" s="20">
        <v>0</v>
      </c>
      <c r="L77" s="21">
        <v>0</v>
      </c>
      <c r="M77" s="22"/>
      <c r="N77" s="26">
        <v>56.1</v>
      </c>
      <c r="O77" s="27">
        <v>10011</v>
      </c>
      <c r="P77" s="28">
        <f t="shared" si="1"/>
        <v>68.039147486716956</v>
      </c>
    </row>
    <row r="78" spans="1:16" x14ac:dyDescent="0.25">
      <c r="A78" s="11" t="s">
        <v>107</v>
      </c>
      <c r="B78" s="12">
        <v>2017</v>
      </c>
      <c r="C78" s="12">
        <v>3</v>
      </c>
      <c r="D78" s="13" t="s">
        <v>99</v>
      </c>
      <c r="E78" s="14">
        <v>1077.52</v>
      </c>
      <c r="F78" s="15">
        <v>85.71</v>
      </c>
      <c r="G78" s="16">
        <v>79.535200000000003</v>
      </c>
      <c r="H78" s="17">
        <v>32215.200000000001</v>
      </c>
      <c r="I78" s="18">
        <v>106501</v>
      </c>
      <c r="J78" s="19">
        <v>0</v>
      </c>
      <c r="K78" s="20">
        <v>0</v>
      </c>
      <c r="L78" s="21">
        <v>0</v>
      </c>
      <c r="M78" s="22"/>
      <c r="N78" s="26">
        <v>52.66</v>
      </c>
      <c r="O78" s="27">
        <v>9951</v>
      </c>
      <c r="P78" s="28">
        <f t="shared" si="1"/>
        <v>63.484268788609313</v>
      </c>
    </row>
    <row r="79" spans="1:16" x14ac:dyDescent="0.25">
      <c r="A79" s="11" t="s">
        <v>108</v>
      </c>
      <c r="B79" s="12">
        <v>2017</v>
      </c>
      <c r="C79" s="12">
        <v>4</v>
      </c>
      <c r="D79" s="13" t="s">
        <v>99</v>
      </c>
      <c r="E79" s="14">
        <v>1092.6400000000001</v>
      </c>
      <c r="F79" s="15">
        <v>87.23</v>
      </c>
      <c r="G79" s="16">
        <v>79.8322</v>
      </c>
      <c r="H79" s="17">
        <v>32518.799999999999</v>
      </c>
      <c r="I79" s="18">
        <v>95485</v>
      </c>
      <c r="J79" s="19">
        <v>0</v>
      </c>
      <c r="K79" s="20">
        <v>0</v>
      </c>
      <c r="L79" s="21">
        <v>0</v>
      </c>
      <c r="M79" s="22"/>
      <c r="N79" s="26">
        <v>53.98</v>
      </c>
      <c r="O79" s="27">
        <v>9946</v>
      </c>
      <c r="P79" s="28">
        <f t="shared" si="1"/>
        <v>65.042896915955424</v>
      </c>
    </row>
    <row r="80" spans="1:16" x14ac:dyDescent="0.25">
      <c r="A80" s="11" t="s">
        <v>109</v>
      </c>
      <c r="B80" s="12">
        <v>2017</v>
      </c>
      <c r="C80" s="12">
        <v>5</v>
      </c>
      <c r="D80" s="13" t="s">
        <v>99</v>
      </c>
      <c r="E80" s="14">
        <v>1267.6099999999999</v>
      </c>
      <c r="F80" s="15">
        <v>102.03</v>
      </c>
      <c r="G80" s="16">
        <v>80.492599999999996</v>
      </c>
      <c r="H80" s="17">
        <v>32245.7</v>
      </c>
      <c r="I80" s="18">
        <v>83707</v>
      </c>
      <c r="J80" s="19">
        <v>0</v>
      </c>
      <c r="K80" s="20">
        <v>0</v>
      </c>
      <c r="L80" s="21">
        <v>0</v>
      </c>
      <c r="M80" s="22"/>
      <c r="N80" s="26">
        <v>51.37</v>
      </c>
      <c r="O80" s="27">
        <v>9880</v>
      </c>
      <c r="P80" s="28">
        <f t="shared" si="1"/>
        <v>61.48724734905575</v>
      </c>
    </row>
    <row r="81" spans="1:16" x14ac:dyDescent="0.25">
      <c r="A81" s="11" t="s">
        <v>110</v>
      </c>
      <c r="B81" s="12">
        <v>2017</v>
      </c>
      <c r="C81" s="12">
        <v>6</v>
      </c>
      <c r="D81" s="13" t="s">
        <v>99</v>
      </c>
      <c r="E81" s="14">
        <v>1214.6099999999999</v>
      </c>
      <c r="F81" s="15">
        <v>97.88</v>
      </c>
      <c r="G81" s="16">
        <v>80.587400000000002</v>
      </c>
      <c r="H81" s="17">
        <v>33492.9</v>
      </c>
      <c r="I81" s="18">
        <v>68325</v>
      </c>
      <c r="J81" s="19">
        <v>1</v>
      </c>
      <c r="K81" s="20">
        <v>0</v>
      </c>
      <c r="L81" s="21">
        <v>0</v>
      </c>
      <c r="M81" s="22"/>
      <c r="N81" s="26">
        <v>47.65</v>
      </c>
      <c r="O81" s="27">
        <v>10070</v>
      </c>
      <c r="P81" s="28">
        <f t="shared" si="1"/>
        <v>58.131417924886144</v>
      </c>
    </row>
    <row r="82" spans="1:16" x14ac:dyDescent="0.25">
      <c r="A82" s="11" t="s">
        <v>111</v>
      </c>
      <c r="B82" s="12">
        <v>2017</v>
      </c>
      <c r="C82" s="12">
        <v>7</v>
      </c>
      <c r="D82" s="13" t="s">
        <v>112</v>
      </c>
      <c r="E82" s="14">
        <v>1115.57</v>
      </c>
      <c r="F82" s="15">
        <v>89.94</v>
      </c>
      <c r="G82" s="16">
        <v>80.626300000000001</v>
      </c>
      <c r="H82" s="17">
        <v>32994</v>
      </c>
      <c r="I82" s="18">
        <v>76215</v>
      </c>
      <c r="J82" s="19">
        <v>0</v>
      </c>
      <c r="K82" s="20">
        <v>0</v>
      </c>
      <c r="L82" s="21">
        <v>0</v>
      </c>
      <c r="M82" s="22"/>
      <c r="N82" s="26">
        <v>49.25</v>
      </c>
      <c r="O82" s="27">
        <v>10010</v>
      </c>
      <c r="P82" s="28">
        <f t="shared" si="1"/>
        <v>59.725370572486682</v>
      </c>
    </row>
    <row r="83" spans="1:16" x14ac:dyDescent="0.25">
      <c r="A83" s="11" t="s">
        <v>113</v>
      </c>
      <c r="B83" s="12">
        <v>2017</v>
      </c>
      <c r="C83" s="12">
        <v>8</v>
      </c>
      <c r="D83" s="13" t="s">
        <v>112</v>
      </c>
      <c r="E83" s="14">
        <v>1418.58</v>
      </c>
      <c r="F83" s="15">
        <v>114.47</v>
      </c>
      <c r="G83" s="16">
        <v>80.693899999999999</v>
      </c>
      <c r="H83" s="17">
        <v>33596.199999999997</v>
      </c>
      <c r="I83" s="18">
        <v>93341</v>
      </c>
      <c r="J83" s="19">
        <v>0</v>
      </c>
      <c r="K83" s="20">
        <v>0</v>
      </c>
      <c r="L83" s="21">
        <v>0</v>
      </c>
      <c r="M83" s="22"/>
      <c r="N83" s="26">
        <v>51.93</v>
      </c>
      <c r="O83" s="27">
        <v>9951</v>
      </c>
      <c r="P83" s="28">
        <f t="shared" si="1"/>
        <v>62.604217208364631</v>
      </c>
    </row>
    <row r="84" spans="1:16" x14ac:dyDescent="0.25">
      <c r="A84" s="11" t="s">
        <v>114</v>
      </c>
      <c r="B84" s="12">
        <v>2017</v>
      </c>
      <c r="C84" s="12">
        <v>9</v>
      </c>
      <c r="D84" s="13" t="s">
        <v>112</v>
      </c>
      <c r="E84" s="14">
        <v>856.87</v>
      </c>
      <c r="F84" s="15">
        <v>69.180000000000007</v>
      </c>
      <c r="G84" s="16">
        <v>80.737700000000004</v>
      </c>
      <c r="H84" s="17">
        <v>32816.6</v>
      </c>
      <c r="I84" s="18">
        <v>46415</v>
      </c>
      <c r="J84" s="19">
        <v>0</v>
      </c>
      <c r="K84" s="20">
        <v>1</v>
      </c>
      <c r="L84" s="21">
        <v>0</v>
      </c>
      <c r="M84" s="22"/>
      <c r="N84" s="26">
        <v>55.56</v>
      </c>
      <c r="O84" s="27">
        <v>9973</v>
      </c>
      <c r="P84" s="28">
        <f t="shared" si="1"/>
        <v>67.128446512209422</v>
      </c>
    </row>
    <row r="85" spans="1:16" x14ac:dyDescent="0.25">
      <c r="A85" s="11" t="s">
        <v>115</v>
      </c>
      <c r="B85" s="12">
        <v>2017</v>
      </c>
      <c r="C85" s="12">
        <v>10</v>
      </c>
      <c r="D85" s="13" t="s">
        <v>112</v>
      </c>
      <c r="E85" s="14">
        <v>1162.77</v>
      </c>
      <c r="F85" s="15">
        <v>93.98</v>
      </c>
      <c r="G85" s="16">
        <v>80.821700000000007</v>
      </c>
      <c r="H85" s="17">
        <v>33452.9</v>
      </c>
      <c r="I85" s="18">
        <v>98312</v>
      </c>
      <c r="J85" s="19">
        <v>0</v>
      </c>
      <c r="K85" s="20">
        <v>0</v>
      </c>
      <c r="L85" s="21">
        <v>0</v>
      </c>
      <c r="M85" s="22"/>
      <c r="N85" s="26">
        <v>57.54</v>
      </c>
      <c r="O85" s="27">
        <v>10056</v>
      </c>
      <c r="P85" s="28">
        <f t="shared" si="1"/>
        <v>70.099297059250048</v>
      </c>
    </row>
    <row r="86" spans="1:16" x14ac:dyDescent="0.25">
      <c r="A86" s="11" t="s">
        <v>116</v>
      </c>
      <c r="B86" s="12">
        <v>2017</v>
      </c>
      <c r="C86" s="12">
        <v>11</v>
      </c>
      <c r="D86" s="13" t="s">
        <v>112</v>
      </c>
      <c r="E86" s="14">
        <v>1214.75</v>
      </c>
      <c r="F86" s="15">
        <v>98.7</v>
      </c>
      <c r="G86" s="16">
        <v>81.284199999999998</v>
      </c>
      <c r="H86" s="17">
        <v>32623.9</v>
      </c>
      <c r="I86" s="18">
        <v>97059</v>
      </c>
      <c r="J86" s="19">
        <v>0</v>
      </c>
      <c r="K86" s="20">
        <v>0</v>
      </c>
      <c r="L86" s="21">
        <v>0</v>
      </c>
      <c r="M86" s="22"/>
      <c r="N86" s="26">
        <v>62.84</v>
      </c>
      <c r="O86" s="27">
        <v>9891</v>
      </c>
      <c r="P86" s="28">
        <f t="shared" si="1"/>
        <v>75.299990077926438</v>
      </c>
    </row>
    <row r="87" spans="1:16" x14ac:dyDescent="0.25">
      <c r="A87" s="11" t="s">
        <v>117</v>
      </c>
      <c r="B87" s="12">
        <v>2017</v>
      </c>
      <c r="C87" s="12">
        <v>12</v>
      </c>
      <c r="D87" s="13" t="s">
        <v>112</v>
      </c>
      <c r="E87" s="14">
        <v>1163.82</v>
      </c>
      <c r="F87" s="15">
        <v>96.08</v>
      </c>
      <c r="G87" s="16">
        <v>82.549899999999994</v>
      </c>
      <c r="H87" s="17">
        <v>33226.9</v>
      </c>
      <c r="I87" s="18">
        <v>76693</v>
      </c>
      <c r="J87" s="19">
        <v>0</v>
      </c>
      <c r="K87" s="20">
        <v>0</v>
      </c>
      <c r="L87" s="21">
        <v>0</v>
      </c>
      <c r="M87" s="22"/>
      <c r="N87" s="26">
        <v>64.06</v>
      </c>
      <c r="O87" s="27">
        <v>9980</v>
      </c>
      <c r="P87" s="28">
        <f t="shared" si="1"/>
        <v>77.452602714965238</v>
      </c>
    </row>
    <row r="88" spans="1:16" x14ac:dyDescent="0.25">
      <c r="A88" s="11" t="s">
        <v>118</v>
      </c>
      <c r="B88" s="12">
        <v>2018</v>
      </c>
      <c r="C88" s="12">
        <v>1</v>
      </c>
      <c r="D88" s="13" t="s">
        <v>112</v>
      </c>
      <c r="E88" s="14">
        <v>1379.79</v>
      </c>
      <c r="F88" s="15">
        <v>114.27</v>
      </c>
      <c r="G88" s="16">
        <v>82.816800000000001</v>
      </c>
      <c r="H88" s="17">
        <v>32694.7</v>
      </c>
      <c r="I88" s="18">
        <v>81846</v>
      </c>
      <c r="J88" s="19">
        <v>0</v>
      </c>
      <c r="K88" s="20">
        <v>0</v>
      </c>
      <c r="L88" s="21">
        <v>0</v>
      </c>
      <c r="M88" s="22"/>
      <c r="N88" s="26">
        <v>68.89</v>
      </c>
      <c r="O88" s="27">
        <v>9983</v>
      </c>
      <c r="P88" s="28">
        <f t="shared" si="1"/>
        <v>83.317416825098789</v>
      </c>
    </row>
    <row r="89" spans="1:16" x14ac:dyDescent="0.25">
      <c r="A89" s="11" t="s">
        <v>119</v>
      </c>
      <c r="B89" s="12">
        <v>2018</v>
      </c>
      <c r="C89" s="12">
        <v>2</v>
      </c>
      <c r="D89" s="13" t="s">
        <v>112</v>
      </c>
      <c r="E89" s="14">
        <v>1149.08</v>
      </c>
      <c r="F89" s="15">
        <v>95.28</v>
      </c>
      <c r="G89" s="16">
        <v>82.92</v>
      </c>
      <c r="H89" s="17">
        <v>33369</v>
      </c>
      <c r="I89" s="18">
        <v>59382</v>
      </c>
      <c r="J89" s="19">
        <v>0</v>
      </c>
      <c r="K89" s="20">
        <v>0</v>
      </c>
      <c r="L89" s="21">
        <v>0</v>
      </c>
      <c r="M89" s="22"/>
      <c r="N89" s="26">
        <v>65.7</v>
      </c>
      <c r="O89" s="27">
        <v>9935</v>
      </c>
      <c r="P89" s="28">
        <f t="shared" si="1"/>
        <v>79.077290772362545</v>
      </c>
    </row>
    <row r="90" spans="1:16" x14ac:dyDescent="0.25">
      <c r="A90" s="11" t="s">
        <v>120</v>
      </c>
      <c r="B90" s="12">
        <v>2018</v>
      </c>
      <c r="C90" s="12">
        <v>3</v>
      </c>
      <c r="D90" s="13" t="s">
        <v>112</v>
      </c>
      <c r="E90" s="14">
        <v>1299.77</v>
      </c>
      <c r="F90" s="15">
        <v>107.83</v>
      </c>
      <c r="G90" s="16">
        <v>82.96</v>
      </c>
      <c r="H90" s="17">
        <v>32403.200000000001</v>
      </c>
      <c r="I90" s="18">
        <v>62973</v>
      </c>
      <c r="J90" s="19">
        <v>0</v>
      </c>
      <c r="K90" s="20">
        <v>0</v>
      </c>
      <c r="L90" s="21">
        <v>0</v>
      </c>
      <c r="M90" s="22"/>
      <c r="N90" s="26">
        <v>66.89</v>
      </c>
      <c r="O90" s="27">
        <v>9907</v>
      </c>
      <c r="P90" s="28">
        <f t="shared" si="1"/>
        <v>80.282687023514825</v>
      </c>
    </row>
    <row r="91" spans="1:16" x14ac:dyDescent="0.25">
      <c r="A91" s="11" t="s">
        <v>121</v>
      </c>
      <c r="B91" s="12">
        <v>2018</v>
      </c>
      <c r="C91" s="12">
        <v>4</v>
      </c>
      <c r="D91" s="13" t="s">
        <v>112</v>
      </c>
      <c r="E91" s="14">
        <v>1331.33</v>
      </c>
      <c r="F91" s="15">
        <v>110.47</v>
      </c>
      <c r="G91" s="16">
        <v>82.975200000000001</v>
      </c>
      <c r="H91" s="17">
        <v>33094.300000000003</v>
      </c>
      <c r="I91" s="18">
        <v>69103</v>
      </c>
      <c r="J91" s="19">
        <v>0</v>
      </c>
      <c r="K91" s="20">
        <v>0</v>
      </c>
      <c r="L91" s="21">
        <v>0</v>
      </c>
      <c r="M91" s="22"/>
      <c r="N91" s="26">
        <v>71.930000000000007</v>
      </c>
      <c r="O91" s="27">
        <v>9868</v>
      </c>
      <c r="P91" s="28">
        <f t="shared" si="1"/>
        <v>85.991939011836592</v>
      </c>
    </row>
    <row r="92" spans="1:16" x14ac:dyDescent="0.25">
      <c r="A92" s="11" t="s">
        <v>122</v>
      </c>
      <c r="B92" s="12">
        <v>2018</v>
      </c>
      <c r="C92" s="12">
        <v>5</v>
      </c>
      <c r="D92" s="13" t="s">
        <v>112</v>
      </c>
      <c r="E92" s="14">
        <v>1504.98</v>
      </c>
      <c r="F92" s="15">
        <v>125.49</v>
      </c>
      <c r="G92" s="16">
        <v>83.413700000000006</v>
      </c>
      <c r="H92" s="17">
        <v>32348.1</v>
      </c>
      <c r="I92" s="18">
        <v>73723</v>
      </c>
      <c r="J92" s="19">
        <v>0</v>
      </c>
      <c r="K92" s="20">
        <v>0</v>
      </c>
      <c r="L92" s="21">
        <v>0</v>
      </c>
      <c r="M92" s="22"/>
      <c r="N92" s="26">
        <v>76.930000000000007</v>
      </c>
      <c r="O92" s="27">
        <v>10030</v>
      </c>
      <c r="P92" s="28">
        <f t="shared" si="1"/>
        <v>93.479247177509279</v>
      </c>
    </row>
    <row r="93" spans="1:16" x14ac:dyDescent="0.25">
      <c r="A93" s="11" t="s">
        <v>123</v>
      </c>
      <c r="B93" s="12">
        <v>2018</v>
      </c>
      <c r="C93" s="12">
        <v>6</v>
      </c>
      <c r="D93" s="13" t="s">
        <v>112</v>
      </c>
      <c r="E93" s="14">
        <v>1384.38</v>
      </c>
      <c r="F93" s="15">
        <v>115.87</v>
      </c>
      <c r="G93" s="16">
        <v>83.721699999999998</v>
      </c>
      <c r="H93" s="17">
        <v>32943.5</v>
      </c>
      <c r="I93" s="18">
        <v>44975</v>
      </c>
      <c r="J93" s="19">
        <v>1</v>
      </c>
      <c r="K93" s="20">
        <v>0</v>
      </c>
      <c r="L93" s="21">
        <v>0</v>
      </c>
      <c r="M93" s="22"/>
      <c r="N93" s="26">
        <v>75.8</v>
      </c>
      <c r="O93" s="27">
        <v>10489</v>
      </c>
      <c r="P93" s="28">
        <f t="shared" si="1"/>
        <v>96.321188303389619</v>
      </c>
    </row>
    <row r="94" spans="1:16" x14ac:dyDescent="0.25">
      <c r="A94" s="11" t="s">
        <v>124</v>
      </c>
      <c r="B94" s="12">
        <v>2018</v>
      </c>
      <c r="C94" s="12">
        <v>7</v>
      </c>
      <c r="D94" s="13" t="s">
        <v>125</v>
      </c>
      <c r="E94" s="14">
        <v>1318.18</v>
      </c>
      <c r="F94" s="15">
        <v>110.39</v>
      </c>
      <c r="G94" s="16">
        <v>83.748400000000004</v>
      </c>
      <c r="H94" s="17">
        <v>32105.5</v>
      </c>
      <c r="I94" s="18">
        <v>58627</v>
      </c>
      <c r="J94" s="19">
        <v>0</v>
      </c>
      <c r="K94" s="20">
        <v>0</v>
      </c>
      <c r="L94" s="21">
        <v>0</v>
      </c>
      <c r="M94" s="22"/>
      <c r="N94" s="26">
        <v>75.23</v>
      </c>
      <c r="O94" s="27">
        <v>10288</v>
      </c>
      <c r="P94" s="28">
        <f t="shared" si="1"/>
        <v>93.764956859575278</v>
      </c>
    </row>
    <row r="95" spans="1:16" x14ac:dyDescent="0.25">
      <c r="A95" s="11" t="s">
        <v>126</v>
      </c>
      <c r="B95" s="12">
        <v>2018</v>
      </c>
      <c r="C95" s="12">
        <v>8</v>
      </c>
      <c r="D95" s="13" t="s">
        <v>125</v>
      </c>
      <c r="E95" s="14">
        <v>1411.05</v>
      </c>
      <c r="F95" s="15">
        <v>118.18</v>
      </c>
      <c r="G95" s="16">
        <v>83.75</v>
      </c>
      <c r="H95" s="17">
        <v>32926.5</v>
      </c>
      <c r="I95" s="18">
        <v>49727</v>
      </c>
      <c r="J95" s="19">
        <v>0</v>
      </c>
      <c r="K95" s="20">
        <v>1</v>
      </c>
      <c r="L95" s="21">
        <v>0</v>
      </c>
      <c r="M95" s="22"/>
      <c r="N95" s="26">
        <v>73.849999999999994</v>
      </c>
      <c r="O95" s="27">
        <v>10412</v>
      </c>
      <c r="P95" s="28">
        <f t="shared" si="1"/>
        <v>93.154362871431118</v>
      </c>
    </row>
    <row r="96" spans="1:16" x14ac:dyDescent="0.25">
      <c r="A96" s="11" t="s">
        <v>127</v>
      </c>
      <c r="B96" s="12">
        <v>2018</v>
      </c>
      <c r="C96" s="12">
        <v>9</v>
      </c>
      <c r="D96" s="13" t="s">
        <v>125</v>
      </c>
      <c r="E96" s="14">
        <v>1139.6600000000001</v>
      </c>
      <c r="F96" s="15">
        <v>95.45</v>
      </c>
      <c r="G96" s="16">
        <v>83.75</v>
      </c>
      <c r="H96" s="17">
        <v>31957.7</v>
      </c>
      <c r="I96" s="18">
        <v>55037</v>
      </c>
      <c r="J96" s="19">
        <v>0</v>
      </c>
      <c r="K96" s="20">
        <v>0</v>
      </c>
      <c r="L96" s="21">
        <v>0</v>
      </c>
      <c r="M96" s="22"/>
      <c r="N96" s="26">
        <v>79.16</v>
      </c>
      <c r="O96" s="27">
        <v>10502</v>
      </c>
      <c r="P96" s="28">
        <f t="shared" si="1"/>
        <v>100.71550628682691</v>
      </c>
    </row>
    <row r="97" spans="1:16" x14ac:dyDescent="0.25">
      <c r="A97" s="11" t="s">
        <v>128</v>
      </c>
      <c r="B97" s="12">
        <v>2018</v>
      </c>
      <c r="C97" s="12">
        <v>10</v>
      </c>
      <c r="D97" s="13" t="s">
        <v>125</v>
      </c>
      <c r="E97" s="14">
        <v>1239.1099999999999</v>
      </c>
      <c r="F97" s="15">
        <v>103.86</v>
      </c>
      <c r="G97" s="16">
        <v>83.816999999999993</v>
      </c>
      <c r="H97" s="17">
        <v>32078</v>
      </c>
      <c r="I97" s="18">
        <v>59192</v>
      </c>
      <c r="J97" s="19">
        <v>0</v>
      </c>
      <c r="K97" s="20">
        <v>0</v>
      </c>
      <c r="L97" s="21">
        <v>0</v>
      </c>
      <c r="M97" s="22"/>
      <c r="N97" s="26">
        <v>80.78</v>
      </c>
      <c r="O97" s="27">
        <v>10642</v>
      </c>
      <c r="P97" s="28">
        <f t="shared" si="1"/>
        <v>104.14673135519412</v>
      </c>
    </row>
    <row r="98" spans="1:16" x14ac:dyDescent="0.25">
      <c r="A98" s="11" t="s">
        <v>129</v>
      </c>
      <c r="B98" s="12">
        <v>2018</v>
      </c>
      <c r="C98" s="12">
        <v>11</v>
      </c>
      <c r="D98" s="13" t="s">
        <v>125</v>
      </c>
      <c r="E98" s="14">
        <v>1180.44</v>
      </c>
      <c r="F98" s="15">
        <v>99.01</v>
      </c>
      <c r="G98" s="16">
        <v>83.872500000000002</v>
      </c>
      <c r="H98" s="17">
        <v>31056</v>
      </c>
      <c r="I98" s="18">
        <v>70377</v>
      </c>
      <c r="J98" s="19">
        <v>0</v>
      </c>
      <c r="K98" s="20">
        <v>0</v>
      </c>
      <c r="L98" s="21">
        <v>0</v>
      </c>
      <c r="M98" s="22"/>
      <c r="N98" s="26">
        <v>66.23</v>
      </c>
      <c r="O98" s="27">
        <v>11093</v>
      </c>
      <c r="P98" s="28">
        <f t="shared" si="1"/>
        <v>89.006619925098647</v>
      </c>
    </row>
    <row r="99" spans="1:16" x14ac:dyDescent="0.25">
      <c r="A99" s="11" t="s">
        <v>130</v>
      </c>
      <c r="B99" s="12">
        <v>2018</v>
      </c>
      <c r="C99" s="12">
        <v>12</v>
      </c>
      <c r="D99" s="13" t="s">
        <v>125</v>
      </c>
      <c r="E99" s="14">
        <v>1206.9100000000001</v>
      </c>
      <c r="F99" s="15">
        <v>101.26</v>
      </c>
      <c r="G99" s="16">
        <v>83.9</v>
      </c>
      <c r="H99" s="17">
        <v>32016.2</v>
      </c>
      <c r="I99" s="18">
        <v>49219</v>
      </c>
      <c r="J99" s="19">
        <v>0</v>
      </c>
      <c r="K99" s="20">
        <v>0</v>
      </c>
      <c r="L99" s="21">
        <v>0</v>
      </c>
      <c r="M99" s="22"/>
      <c r="N99" s="26">
        <v>57.95</v>
      </c>
      <c r="O99" s="27">
        <v>10643</v>
      </c>
      <c r="P99" s="28">
        <f t="shared" si="1"/>
        <v>74.719858915140577</v>
      </c>
    </row>
    <row r="100" spans="1:16" x14ac:dyDescent="0.25">
      <c r="A100" s="11" t="s">
        <v>131</v>
      </c>
      <c r="B100" s="12">
        <v>2019</v>
      </c>
      <c r="C100" s="12">
        <v>1</v>
      </c>
      <c r="D100" s="13" t="s">
        <v>125</v>
      </c>
      <c r="E100" s="14">
        <v>1597.21</v>
      </c>
      <c r="F100" s="15">
        <v>134.07</v>
      </c>
      <c r="G100" s="16">
        <v>83.941400000000002</v>
      </c>
      <c r="H100" s="17">
        <v>31279.7</v>
      </c>
      <c r="I100" s="18">
        <v>62236</v>
      </c>
      <c r="J100" s="19">
        <v>0</v>
      </c>
      <c r="K100" s="20">
        <v>0</v>
      </c>
      <c r="L100" s="21">
        <v>0</v>
      </c>
      <c r="M100" s="22"/>
      <c r="N100" s="26">
        <v>59.94</v>
      </c>
      <c r="O100" s="27">
        <v>10243</v>
      </c>
      <c r="P100" s="28">
        <f t="shared" si="1"/>
        <v>74.381075225672646</v>
      </c>
    </row>
    <row r="101" spans="1:16" x14ac:dyDescent="0.25">
      <c r="A101" s="11" t="s">
        <v>132</v>
      </c>
      <c r="B101" s="12">
        <v>2019</v>
      </c>
      <c r="C101" s="12">
        <v>2</v>
      </c>
      <c r="D101" s="13" t="s">
        <v>125</v>
      </c>
      <c r="E101" s="14">
        <v>1317.73</v>
      </c>
      <c r="F101" s="15">
        <v>110.74</v>
      </c>
      <c r="G101" s="16">
        <v>84.031899999999993</v>
      </c>
      <c r="H101" s="17">
        <v>32235.7</v>
      </c>
      <c r="I101" s="18">
        <v>53617</v>
      </c>
      <c r="J101" s="19">
        <v>0</v>
      </c>
      <c r="K101" s="20">
        <v>0</v>
      </c>
      <c r="L101" s="21">
        <v>0</v>
      </c>
      <c r="M101" s="22"/>
      <c r="N101" s="26">
        <v>64.38</v>
      </c>
      <c r="O101" s="27">
        <v>10136</v>
      </c>
      <c r="P101" s="28">
        <f t="shared" si="1"/>
        <v>79.056232715875055</v>
      </c>
    </row>
    <row r="102" spans="1:16" x14ac:dyDescent="0.25">
      <c r="A102" s="11" t="s">
        <v>133</v>
      </c>
      <c r="B102" s="12">
        <v>2019</v>
      </c>
      <c r="C102" s="12">
        <v>3</v>
      </c>
      <c r="D102" s="13" t="s">
        <v>125</v>
      </c>
      <c r="E102" s="14">
        <v>1458.68</v>
      </c>
      <c r="F102" s="15">
        <v>122.83</v>
      </c>
      <c r="G102" s="16">
        <v>84.206000000000003</v>
      </c>
      <c r="H102" s="17">
        <v>31753.3</v>
      </c>
      <c r="I102" s="18">
        <v>58458</v>
      </c>
      <c r="J102" s="19">
        <v>0</v>
      </c>
      <c r="K102" s="20">
        <v>0</v>
      </c>
      <c r="L102" s="21">
        <v>0</v>
      </c>
      <c r="M102" s="22"/>
      <c r="N102" s="26">
        <v>66.94</v>
      </c>
      <c r="O102" s="27">
        <v>9787</v>
      </c>
      <c r="P102" s="28">
        <f t="shared" si="1"/>
        <v>79.369535212033739</v>
      </c>
    </row>
    <row r="103" spans="1:16" x14ac:dyDescent="0.25">
      <c r="A103" s="11" t="s">
        <v>134</v>
      </c>
      <c r="B103" s="12">
        <v>2019</v>
      </c>
      <c r="C103" s="12">
        <v>4</v>
      </c>
      <c r="D103" s="13" t="s">
        <v>125</v>
      </c>
      <c r="E103" s="14">
        <v>1434.3</v>
      </c>
      <c r="F103" s="15">
        <v>120.96</v>
      </c>
      <c r="G103" s="16">
        <v>84.328500000000005</v>
      </c>
      <c r="H103" s="17">
        <v>32122.9</v>
      </c>
      <c r="I103" s="18">
        <v>64259</v>
      </c>
      <c r="J103" s="19">
        <v>0</v>
      </c>
      <c r="K103" s="20">
        <v>0</v>
      </c>
      <c r="L103" s="21">
        <v>0</v>
      </c>
      <c r="M103" s="22"/>
      <c r="N103" s="26">
        <v>71.48</v>
      </c>
      <c r="O103" s="27">
        <v>9807</v>
      </c>
      <c r="P103" s="28">
        <f t="shared" si="1"/>
        <v>84.925724374972972</v>
      </c>
    </row>
    <row r="104" spans="1:16" x14ac:dyDescent="0.25">
      <c r="A104" s="11" t="s">
        <v>135</v>
      </c>
      <c r="B104" s="12">
        <v>2019</v>
      </c>
      <c r="C104" s="12">
        <v>5</v>
      </c>
      <c r="D104" s="13" t="s">
        <v>125</v>
      </c>
      <c r="E104" s="14">
        <v>1748.16</v>
      </c>
      <c r="F104" s="15">
        <v>147.71</v>
      </c>
      <c r="G104" s="16">
        <v>84.492900000000006</v>
      </c>
      <c r="H104" s="17">
        <v>31344.799999999999</v>
      </c>
      <c r="I104" s="18">
        <v>63848</v>
      </c>
      <c r="J104" s="19">
        <v>0</v>
      </c>
      <c r="K104" s="20">
        <v>0</v>
      </c>
      <c r="L104" s="21">
        <v>0</v>
      </c>
      <c r="M104" s="22"/>
      <c r="N104" s="26">
        <v>70.39</v>
      </c>
      <c r="O104" s="27">
        <v>9670</v>
      </c>
      <c r="P104" s="28">
        <f t="shared" si="1"/>
        <v>82.462401822657057</v>
      </c>
    </row>
    <row r="105" spans="1:16" x14ac:dyDescent="0.25">
      <c r="A105" s="11" t="s">
        <v>136</v>
      </c>
      <c r="B105" s="12">
        <v>2019</v>
      </c>
      <c r="C105" s="12">
        <v>6</v>
      </c>
      <c r="D105" s="13" t="s">
        <v>125</v>
      </c>
      <c r="E105" s="14">
        <v>1368.2</v>
      </c>
      <c r="F105" s="15">
        <v>115.61</v>
      </c>
      <c r="G105" s="16">
        <v>84.5</v>
      </c>
      <c r="H105" s="17">
        <v>32716.5</v>
      </c>
      <c r="I105" s="18">
        <v>48381</v>
      </c>
      <c r="J105" s="19">
        <v>1</v>
      </c>
      <c r="K105" s="20">
        <v>0</v>
      </c>
      <c r="L105" s="21">
        <v>0</v>
      </c>
      <c r="M105" s="22"/>
      <c r="N105" s="26">
        <v>63.21</v>
      </c>
      <c r="O105" s="27">
        <v>9782</v>
      </c>
      <c r="P105" s="28">
        <f t="shared" si="1"/>
        <v>74.908653320205659</v>
      </c>
    </row>
    <row r="106" spans="1:16" x14ac:dyDescent="0.25">
      <c r="A106" s="11" t="s">
        <v>137</v>
      </c>
      <c r="B106" s="12">
        <v>2019</v>
      </c>
      <c r="C106" s="12">
        <v>7</v>
      </c>
      <c r="D106" s="13" t="s">
        <v>138</v>
      </c>
      <c r="E106" s="14">
        <v>1597.69</v>
      </c>
      <c r="F106" s="15">
        <v>135</v>
      </c>
      <c r="G106" s="16">
        <v>84.499600000000001</v>
      </c>
      <c r="H106" s="17">
        <v>32093.200000000001</v>
      </c>
      <c r="I106" s="18">
        <v>55307</v>
      </c>
      <c r="J106" s="19">
        <v>0</v>
      </c>
      <c r="K106" s="20">
        <v>0</v>
      </c>
      <c r="L106" s="21">
        <v>2</v>
      </c>
      <c r="M106" s="22"/>
      <c r="N106" s="26">
        <v>64.319999999999993</v>
      </c>
      <c r="O106" s="27">
        <v>9580</v>
      </c>
      <c r="P106" s="28">
        <f t="shared" si="1"/>
        <v>74.650047011729484</v>
      </c>
    </row>
    <row r="107" spans="1:16" x14ac:dyDescent="0.25">
      <c r="A107" s="11" t="s">
        <v>139</v>
      </c>
      <c r="B107" s="12">
        <v>2019</v>
      </c>
      <c r="C107" s="12">
        <v>8</v>
      </c>
      <c r="D107" s="13" t="s">
        <v>138</v>
      </c>
      <c r="E107" s="14">
        <v>1444.75</v>
      </c>
      <c r="F107" s="15">
        <v>122.08</v>
      </c>
      <c r="G107" s="16">
        <v>84.5</v>
      </c>
      <c r="H107" s="17">
        <v>32775.800000000003</v>
      </c>
      <c r="I107" s="18">
        <v>35825</v>
      </c>
      <c r="J107" s="19">
        <v>0</v>
      </c>
      <c r="K107" s="20">
        <v>1</v>
      </c>
      <c r="L107" s="21">
        <v>2</v>
      </c>
      <c r="M107" s="22"/>
      <c r="N107" s="26">
        <v>59.62</v>
      </c>
      <c r="O107" s="27">
        <v>9789</v>
      </c>
      <c r="P107" s="28">
        <f t="shared" si="1"/>
        <v>70.704790689678603</v>
      </c>
    </row>
    <row r="108" spans="1:16" x14ac:dyDescent="0.25">
      <c r="A108" s="11" t="s">
        <v>140</v>
      </c>
      <c r="B108" s="12">
        <v>2019</v>
      </c>
      <c r="C108" s="12">
        <v>9</v>
      </c>
      <c r="D108" s="13" t="s">
        <v>138</v>
      </c>
      <c r="E108" s="14">
        <v>1476.91</v>
      </c>
      <c r="F108" s="15">
        <v>124.8</v>
      </c>
      <c r="G108" s="16">
        <v>84.5</v>
      </c>
      <c r="H108" s="17">
        <v>31831.9</v>
      </c>
      <c r="I108" s="18">
        <v>56742</v>
      </c>
      <c r="J108" s="19">
        <v>0</v>
      </c>
      <c r="K108" s="20">
        <v>0</v>
      </c>
      <c r="L108" s="21">
        <v>2</v>
      </c>
      <c r="M108" s="22"/>
      <c r="N108" s="26">
        <v>62.43</v>
      </c>
      <c r="O108" s="27">
        <v>9129</v>
      </c>
      <c r="P108" s="28">
        <f t="shared" si="1"/>
        <v>69.045452909947898</v>
      </c>
    </row>
    <row r="109" spans="1:16" x14ac:dyDescent="0.25">
      <c r="A109" s="11" t="s">
        <v>141</v>
      </c>
      <c r="B109" s="12">
        <v>2019</v>
      </c>
      <c r="C109" s="12">
        <v>10</v>
      </c>
      <c r="D109" s="13" t="s">
        <v>138</v>
      </c>
      <c r="E109" s="14">
        <v>1641.67</v>
      </c>
      <c r="F109" s="15">
        <v>139</v>
      </c>
      <c r="G109" s="16">
        <v>84.673199999999994</v>
      </c>
      <c r="H109" s="17">
        <v>32437.7</v>
      </c>
      <c r="I109" s="18">
        <v>78186</v>
      </c>
      <c r="J109" s="19">
        <v>0</v>
      </c>
      <c r="K109" s="20">
        <v>0</v>
      </c>
      <c r="L109" s="21">
        <v>2</v>
      </c>
      <c r="M109" s="22"/>
      <c r="N109" s="26">
        <v>59.63</v>
      </c>
      <c r="O109" s="27">
        <v>10302</v>
      </c>
      <c r="P109" s="28">
        <f t="shared" si="1"/>
        <v>74.422609825178881</v>
      </c>
    </row>
    <row r="110" spans="1:16" x14ac:dyDescent="0.25">
      <c r="A110" s="11" t="s">
        <v>142</v>
      </c>
      <c r="B110" s="12">
        <v>2019</v>
      </c>
      <c r="C110" s="12">
        <v>11</v>
      </c>
      <c r="D110" s="13" t="s">
        <v>138</v>
      </c>
      <c r="E110" s="14">
        <v>1555.23</v>
      </c>
      <c r="F110" s="15">
        <v>131.85</v>
      </c>
      <c r="G110" s="16">
        <v>84.779200000000003</v>
      </c>
      <c r="H110" s="17">
        <v>31729</v>
      </c>
      <c r="I110" s="18">
        <v>62339</v>
      </c>
      <c r="J110" s="19">
        <v>0</v>
      </c>
      <c r="K110" s="20">
        <v>0</v>
      </c>
      <c r="L110" s="21">
        <v>2</v>
      </c>
      <c r="M110" s="22"/>
      <c r="N110" s="26">
        <v>62.69</v>
      </c>
      <c r="O110" s="27">
        <v>9890</v>
      </c>
      <c r="P110" s="28">
        <f t="shared" si="1"/>
        <v>75.112653090992438</v>
      </c>
    </row>
    <row r="111" spans="1:16" x14ac:dyDescent="0.25">
      <c r="A111" s="11" t="s">
        <v>143</v>
      </c>
      <c r="B111" s="12">
        <v>2019</v>
      </c>
      <c r="C111" s="12">
        <v>12</v>
      </c>
      <c r="D111" s="13" t="s">
        <v>138</v>
      </c>
      <c r="E111" s="14">
        <v>1691.68</v>
      </c>
      <c r="F111" s="15">
        <v>143.62</v>
      </c>
      <c r="G111" s="16">
        <v>84.899000000000001</v>
      </c>
      <c r="H111" s="17">
        <v>32689.200000000001</v>
      </c>
      <c r="I111" s="18">
        <v>60961</v>
      </c>
      <c r="J111" s="19">
        <v>0</v>
      </c>
      <c r="K111" s="20">
        <v>0</v>
      </c>
      <c r="L111" s="21">
        <v>2</v>
      </c>
      <c r="M111" s="22"/>
      <c r="N111" s="26">
        <v>65.349999999999994</v>
      </c>
      <c r="O111" s="27">
        <v>9594</v>
      </c>
      <c r="P111" s="28">
        <f t="shared" si="1"/>
        <v>75.95630798552466</v>
      </c>
    </row>
    <row r="112" spans="1:16" x14ac:dyDescent="0.25">
      <c r="A112" s="11" t="s">
        <v>144</v>
      </c>
      <c r="B112" s="12">
        <v>2020</v>
      </c>
      <c r="C112" s="12">
        <v>1</v>
      </c>
      <c r="D112" s="13" t="s">
        <v>138</v>
      </c>
      <c r="E112" s="14">
        <v>1638.43</v>
      </c>
      <c r="F112" s="15">
        <v>139.1</v>
      </c>
      <c r="G112" s="16">
        <v>84.9</v>
      </c>
      <c r="H112" s="17">
        <v>32381.200000000001</v>
      </c>
      <c r="I112" s="18">
        <v>69988</v>
      </c>
      <c r="J112" s="19">
        <v>0</v>
      </c>
      <c r="K112" s="20">
        <v>0</v>
      </c>
      <c r="L112" s="21">
        <v>2</v>
      </c>
      <c r="M112" s="22"/>
      <c r="N112" s="26">
        <v>63.9</v>
      </c>
      <c r="O112" s="27">
        <v>9748</v>
      </c>
      <c r="P112" s="28">
        <f t="shared" si="1"/>
        <v>75.463148219423928</v>
      </c>
    </row>
    <row r="113" spans="1:16" x14ac:dyDescent="0.25">
      <c r="A113" s="11" t="s">
        <v>145</v>
      </c>
      <c r="B113" s="12">
        <v>2020</v>
      </c>
      <c r="C113" s="12">
        <v>2</v>
      </c>
      <c r="D113" s="13" t="s">
        <v>138</v>
      </c>
      <c r="E113" s="14">
        <v>1452.2</v>
      </c>
      <c r="F113" s="15">
        <v>123.36</v>
      </c>
      <c r="G113" s="16">
        <v>84.949700000000007</v>
      </c>
      <c r="H113" s="17">
        <v>32986.5</v>
      </c>
      <c r="I113" s="18">
        <v>59139</v>
      </c>
      <c r="J113" s="19">
        <v>0</v>
      </c>
      <c r="K113" s="20">
        <v>0</v>
      </c>
      <c r="L113" s="21">
        <v>2</v>
      </c>
      <c r="M113" s="22"/>
      <c r="N113" s="26">
        <v>55.69</v>
      </c>
      <c r="O113" s="27">
        <v>9784</v>
      </c>
      <c r="P113" s="28">
        <f t="shared" si="1"/>
        <v>66.010375411769076</v>
      </c>
    </row>
    <row r="114" spans="1:16" x14ac:dyDescent="0.25">
      <c r="A114" s="11" t="s">
        <v>146</v>
      </c>
      <c r="B114" s="12">
        <v>2020</v>
      </c>
      <c r="C114" s="12">
        <v>3</v>
      </c>
      <c r="D114" s="13" t="s">
        <v>138</v>
      </c>
      <c r="E114" s="14">
        <v>1276.26</v>
      </c>
      <c r="F114" s="15">
        <v>108.42</v>
      </c>
      <c r="G114" s="16">
        <v>84.95</v>
      </c>
      <c r="H114" s="17">
        <v>32570.2</v>
      </c>
      <c r="I114" s="18">
        <v>52091</v>
      </c>
      <c r="J114" s="19">
        <v>0</v>
      </c>
      <c r="K114" s="20">
        <v>0</v>
      </c>
      <c r="L114" s="21">
        <v>2</v>
      </c>
      <c r="M114" s="22"/>
      <c r="N114" s="26">
        <v>33.950000000000003</v>
      </c>
      <c r="O114" s="27">
        <v>9733</v>
      </c>
      <c r="P114" s="28">
        <f t="shared" si="1"/>
        <v>40.03179303741809</v>
      </c>
    </row>
    <row r="115" spans="1:16" x14ac:dyDescent="0.25">
      <c r="A115" s="11" t="s">
        <v>147</v>
      </c>
      <c r="B115" s="12">
        <v>2020</v>
      </c>
      <c r="C115" s="12">
        <v>4</v>
      </c>
      <c r="D115" s="13" t="s">
        <v>138</v>
      </c>
      <c r="E115" s="14">
        <v>1092.96</v>
      </c>
      <c r="F115" s="15">
        <v>92.85</v>
      </c>
      <c r="G115" s="16">
        <v>84.95</v>
      </c>
      <c r="H115" s="17">
        <v>33111.1</v>
      </c>
      <c r="I115" s="18">
        <v>0</v>
      </c>
      <c r="J115" s="19">
        <v>0</v>
      </c>
      <c r="K115" s="20">
        <v>0</v>
      </c>
      <c r="L115" s="21">
        <v>2</v>
      </c>
      <c r="M115" s="22"/>
      <c r="N115" s="26">
        <v>26.85</v>
      </c>
      <c r="O115" s="27">
        <v>12007</v>
      </c>
      <c r="P115" s="28">
        <f t="shared" si="1"/>
        <v>39.056861477313163</v>
      </c>
    </row>
    <row r="116" spans="1:16" x14ac:dyDescent="0.25">
      <c r="A116" s="11" t="s">
        <v>148</v>
      </c>
      <c r="B116" s="12">
        <v>2020</v>
      </c>
      <c r="C116" s="12">
        <v>5</v>
      </c>
      <c r="D116" s="13" t="s">
        <v>138</v>
      </c>
      <c r="E116" s="14">
        <v>1504.6</v>
      </c>
      <c r="F116" s="15">
        <v>127.82</v>
      </c>
      <c r="G116" s="16">
        <v>84.95</v>
      </c>
      <c r="H116" s="17">
        <v>33409.9</v>
      </c>
      <c r="I116" s="18">
        <v>0</v>
      </c>
      <c r="J116" s="19">
        <v>1</v>
      </c>
      <c r="K116" s="20">
        <v>0</v>
      </c>
      <c r="L116" s="21">
        <v>2</v>
      </c>
      <c r="M116" s="22"/>
      <c r="N116" s="26">
        <v>32.42</v>
      </c>
      <c r="O116" s="27">
        <v>8486</v>
      </c>
      <c r="P116" s="28">
        <f t="shared" si="1"/>
        <v>33.329943594405016</v>
      </c>
    </row>
    <row r="117" spans="1:16" x14ac:dyDescent="0.25">
      <c r="A117" s="11" t="s">
        <v>149</v>
      </c>
      <c r="B117" s="12">
        <v>2020</v>
      </c>
      <c r="C117" s="12">
        <v>6</v>
      </c>
      <c r="D117" s="13" t="s">
        <v>138</v>
      </c>
      <c r="E117" s="14">
        <v>1832.63</v>
      </c>
      <c r="F117" s="15">
        <v>155.62</v>
      </c>
      <c r="G117" s="16">
        <v>84.9191</v>
      </c>
      <c r="H117" s="17">
        <v>36037</v>
      </c>
      <c r="I117" s="18">
        <v>0</v>
      </c>
      <c r="J117" s="19">
        <v>0</v>
      </c>
      <c r="K117" s="20">
        <v>0</v>
      </c>
      <c r="L117" s="21">
        <v>2</v>
      </c>
      <c r="M117" s="22"/>
      <c r="N117" s="26">
        <v>40.86</v>
      </c>
      <c r="O117" s="27">
        <v>7484</v>
      </c>
      <c r="P117" s="28">
        <f t="shared" si="1"/>
        <v>37.046798386736256</v>
      </c>
    </row>
    <row r="118" spans="1:16" x14ac:dyDescent="0.25">
      <c r="A118" s="11" t="s">
        <v>150</v>
      </c>
      <c r="B118" s="12">
        <v>2020</v>
      </c>
      <c r="C118" s="12">
        <v>7</v>
      </c>
      <c r="D118" s="13" t="s">
        <v>151</v>
      </c>
      <c r="E118" s="14">
        <v>2598.21</v>
      </c>
      <c r="F118" s="15">
        <v>220.36</v>
      </c>
      <c r="G118" s="16">
        <v>84.806200000000004</v>
      </c>
      <c r="H118" s="17">
        <v>37288.400000000001</v>
      </c>
      <c r="I118" s="18">
        <v>16</v>
      </c>
      <c r="J118" s="19">
        <v>0</v>
      </c>
      <c r="K118" s="20">
        <v>0</v>
      </c>
      <c r="L118" s="21">
        <v>2</v>
      </c>
      <c r="M118" s="22"/>
      <c r="N118" s="26">
        <v>43.3</v>
      </c>
      <c r="O118" s="27">
        <v>8479</v>
      </c>
      <c r="P118" s="28">
        <f t="shared" si="1"/>
        <v>44.478596245870186</v>
      </c>
    </row>
    <row r="119" spans="1:16" x14ac:dyDescent="0.25">
      <c r="A119" s="11" t="s">
        <v>152</v>
      </c>
      <c r="B119" s="12">
        <v>2020</v>
      </c>
      <c r="C119" s="12">
        <v>8</v>
      </c>
      <c r="D119" s="13" t="s">
        <v>151</v>
      </c>
      <c r="E119" s="14">
        <v>1963.94</v>
      </c>
      <c r="F119" s="15">
        <v>166.62</v>
      </c>
      <c r="G119" s="16">
        <v>84.833699999999993</v>
      </c>
      <c r="H119" s="17">
        <v>39040.1</v>
      </c>
      <c r="I119" s="18">
        <v>64</v>
      </c>
      <c r="J119" s="19">
        <v>0</v>
      </c>
      <c r="K119" s="20">
        <v>1</v>
      </c>
      <c r="L119" s="21">
        <v>2</v>
      </c>
      <c r="M119" s="22"/>
      <c r="N119" s="26">
        <v>45.08</v>
      </c>
      <c r="O119" s="27">
        <v>8984</v>
      </c>
      <c r="P119" s="28">
        <f t="shared" si="1"/>
        <v>49.065043856413169</v>
      </c>
    </row>
    <row r="120" spans="1:16" x14ac:dyDescent="0.25">
      <c r="A120" s="11" t="s">
        <v>153</v>
      </c>
      <c r="B120" s="12">
        <v>2020</v>
      </c>
      <c r="C120" s="12">
        <v>9</v>
      </c>
      <c r="D120" s="13" t="s">
        <v>151</v>
      </c>
      <c r="E120" s="14">
        <v>2151.0500000000002</v>
      </c>
      <c r="F120" s="15">
        <v>182.41</v>
      </c>
      <c r="G120" s="16">
        <v>84.802000000000007</v>
      </c>
      <c r="H120" s="17">
        <v>39314</v>
      </c>
      <c r="I120" s="18">
        <v>195</v>
      </c>
      <c r="J120" s="19">
        <v>0</v>
      </c>
      <c r="K120" s="20">
        <v>0</v>
      </c>
      <c r="L120" s="21">
        <v>2</v>
      </c>
      <c r="M120" s="22"/>
      <c r="N120" s="26">
        <v>41.93</v>
      </c>
      <c r="O120" s="27">
        <v>8982</v>
      </c>
      <c r="P120" s="28">
        <f t="shared" si="1"/>
        <v>45.62642629807435</v>
      </c>
    </row>
    <row r="121" spans="1:16" x14ac:dyDescent="0.25">
      <c r="A121" s="11" t="s">
        <v>154</v>
      </c>
      <c r="B121" s="12">
        <v>2020</v>
      </c>
      <c r="C121" s="12">
        <v>10</v>
      </c>
      <c r="D121" s="13" t="s">
        <v>151</v>
      </c>
      <c r="E121" s="14">
        <v>2102.16</v>
      </c>
      <c r="F121" s="15">
        <v>178.27</v>
      </c>
      <c r="G121" s="16">
        <v>84.801699999999997</v>
      </c>
      <c r="H121" s="17">
        <v>41005.800000000003</v>
      </c>
      <c r="I121" s="18">
        <v>1208</v>
      </c>
      <c r="J121" s="19">
        <v>0</v>
      </c>
      <c r="K121" s="20">
        <v>0</v>
      </c>
      <c r="L121" s="21">
        <v>2</v>
      </c>
      <c r="M121" s="22"/>
      <c r="N121" s="26">
        <v>41.61</v>
      </c>
      <c r="O121" s="27">
        <v>8974</v>
      </c>
      <c r="P121" s="28">
        <f t="shared" si="1"/>
        <v>45.237888073921987</v>
      </c>
    </row>
    <row r="122" spans="1:16" x14ac:dyDescent="0.25">
      <c r="A122" s="11" t="s">
        <v>155</v>
      </c>
      <c r="B122" s="12">
        <v>2020</v>
      </c>
      <c r="C122" s="12">
        <v>11</v>
      </c>
      <c r="D122" s="13" t="s">
        <v>151</v>
      </c>
      <c r="E122" s="14">
        <v>2078.7399999999998</v>
      </c>
      <c r="F122" s="15">
        <v>176.28</v>
      </c>
      <c r="G122" s="16">
        <v>84.800299999999993</v>
      </c>
      <c r="H122" s="17">
        <v>41269.199999999997</v>
      </c>
      <c r="I122" s="18">
        <v>6570</v>
      </c>
      <c r="J122" s="19">
        <v>0</v>
      </c>
      <c r="K122" s="20">
        <v>0</v>
      </c>
      <c r="L122" s="21">
        <v>2</v>
      </c>
      <c r="M122" s="22"/>
      <c r="N122" s="26">
        <v>44.05</v>
      </c>
      <c r="O122" s="27">
        <v>8972</v>
      </c>
      <c r="P122" s="28">
        <f t="shared" si="1"/>
        <v>47.879953328698186</v>
      </c>
    </row>
    <row r="123" spans="1:16" x14ac:dyDescent="0.25">
      <c r="A123" s="11" t="s">
        <v>156</v>
      </c>
      <c r="B123" s="12">
        <v>2020</v>
      </c>
      <c r="C123" s="12">
        <v>12</v>
      </c>
      <c r="D123" s="13" t="s">
        <v>151</v>
      </c>
      <c r="E123" s="14">
        <v>2050.65</v>
      </c>
      <c r="F123" s="15">
        <v>173.9</v>
      </c>
      <c r="G123" s="16">
        <v>84.8001</v>
      </c>
      <c r="H123" s="17">
        <v>43166.5</v>
      </c>
      <c r="I123" s="18">
        <v>28398</v>
      </c>
      <c r="J123" s="19">
        <v>0</v>
      </c>
      <c r="K123" s="20">
        <v>0</v>
      </c>
      <c r="L123" s="21">
        <v>2</v>
      </c>
      <c r="M123" s="22"/>
      <c r="N123" s="26">
        <v>50.38</v>
      </c>
      <c r="O123" s="27">
        <v>8980</v>
      </c>
      <c r="P123" s="28">
        <f t="shared" si="1"/>
        <v>54.809146673809593</v>
      </c>
    </row>
    <row r="124" spans="1:16" x14ac:dyDescent="0.25">
      <c r="A124" s="11" t="s">
        <v>157</v>
      </c>
      <c r="B124" s="12">
        <v>2021</v>
      </c>
      <c r="C124" s="12">
        <v>1</v>
      </c>
      <c r="D124" s="13" t="s">
        <v>151</v>
      </c>
      <c r="E124" s="14">
        <v>1961.91</v>
      </c>
      <c r="F124" s="15">
        <v>166.37</v>
      </c>
      <c r="G124" s="16">
        <v>84.8005</v>
      </c>
      <c r="H124" s="17">
        <v>42863</v>
      </c>
      <c r="I124" s="18">
        <v>35732</v>
      </c>
      <c r="J124" s="19">
        <v>0</v>
      </c>
      <c r="K124" s="20">
        <v>0</v>
      </c>
      <c r="L124" s="21">
        <v>2</v>
      </c>
      <c r="M124" s="22"/>
      <c r="N124" s="26">
        <v>55.22</v>
      </c>
      <c r="O124" s="27">
        <v>9103</v>
      </c>
      <c r="P124" s="28">
        <f t="shared" si="1"/>
        <v>60.897503041739455</v>
      </c>
    </row>
    <row r="125" spans="1:16" x14ac:dyDescent="0.25">
      <c r="A125" s="11" t="s">
        <v>158</v>
      </c>
      <c r="B125" s="12">
        <v>2021</v>
      </c>
      <c r="C125" s="12">
        <v>2</v>
      </c>
      <c r="D125" s="13" t="s">
        <v>151</v>
      </c>
      <c r="E125" s="14">
        <v>1780.59</v>
      </c>
      <c r="F125" s="15">
        <v>151</v>
      </c>
      <c r="G125" s="16">
        <v>84.800299999999993</v>
      </c>
      <c r="H125" s="17">
        <v>44016.5</v>
      </c>
      <c r="I125" s="18">
        <v>49510</v>
      </c>
      <c r="J125" s="19">
        <v>0</v>
      </c>
      <c r="K125" s="20">
        <v>0</v>
      </c>
      <c r="L125" s="21">
        <v>2</v>
      </c>
      <c r="M125" s="22"/>
      <c r="N125" s="26">
        <v>62.36</v>
      </c>
      <c r="O125" s="27">
        <v>8147</v>
      </c>
      <c r="P125" s="28">
        <f t="shared" si="1"/>
        <v>61.549193071315479</v>
      </c>
    </row>
    <row r="126" spans="1:16" x14ac:dyDescent="0.25">
      <c r="A126" s="11" t="s">
        <v>159</v>
      </c>
      <c r="B126" s="12">
        <v>2021</v>
      </c>
      <c r="C126" s="12">
        <v>3</v>
      </c>
      <c r="D126" s="13" t="s">
        <v>151</v>
      </c>
      <c r="E126" s="14">
        <v>1910.98</v>
      </c>
      <c r="F126" s="15">
        <v>162.05000000000001</v>
      </c>
      <c r="G126" s="16">
        <v>84.800799999999995</v>
      </c>
      <c r="H126" s="17">
        <v>43440.800000000003</v>
      </c>
      <c r="I126" s="18">
        <v>61653</v>
      </c>
      <c r="J126" s="19">
        <v>0</v>
      </c>
      <c r="K126" s="20">
        <v>0</v>
      </c>
      <c r="L126" s="21">
        <v>2</v>
      </c>
      <c r="M126" s="22"/>
      <c r="N126" s="26">
        <v>65.8</v>
      </c>
      <c r="O126" s="27">
        <v>8138</v>
      </c>
      <c r="P126" s="28">
        <f t="shared" si="1"/>
        <v>64.872721845268231</v>
      </c>
    </row>
    <row r="127" spans="1:16" x14ac:dyDescent="0.25">
      <c r="A127" s="11" t="s">
        <v>160</v>
      </c>
      <c r="B127" s="12">
        <v>2021</v>
      </c>
      <c r="C127" s="12">
        <v>4</v>
      </c>
      <c r="D127" s="13" t="s">
        <v>151</v>
      </c>
      <c r="E127" s="14">
        <v>2067.64</v>
      </c>
      <c r="F127" s="15">
        <v>175.34</v>
      </c>
      <c r="G127" s="16">
        <v>84.800600000000003</v>
      </c>
      <c r="H127" s="17">
        <v>44950.400000000001</v>
      </c>
      <c r="I127" s="18">
        <v>34145</v>
      </c>
      <c r="J127" s="19">
        <v>0</v>
      </c>
      <c r="K127" s="20">
        <v>0</v>
      </c>
      <c r="L127" s="21">
        <v>2</v>
      </c>
      <c r="M127" s="22"/>
      <c r="N127" s="26">
        <v>65.53</v>
      </c>
      <c r="O127" s="27">
        <v>8134</v>
      </c>
      <c r="P127" s="28">
        <f t="shared" si="1"/>
        <v>64.57477130468483</v>
      </c>
    </row>
    <row r="128" spans="1:16" x14ac:dyDescent="0.25">
      <c r="A128" s="11" t="s">
        <v>161</v>
      </c>
      <c r="B128" s="12">
        <v>2021</v>
      </c>
      <c r="C128" s="12">
        <v>5</v>
      </c>
      <c r="D128" s="13" t="s">
        <v>151</v>
      </c>
      <c r="E128" s="14">
        <v>2171.0300000000002</v>
      </c>
      <c r="F128" s="15">
        <v>184.1</v>
      </c>
      <c r="G128" s="16">
        <v>84.800299999999993</v>
      </c>
      <c r="H128" s="17">
        <v>44960.5</v>
      </c>
      <c r="I128" s="18">
        <v>14200</v>
      </c>
      <c r="J128" s="19">
        <v>1</v>
      </c>
      <c r="K128" s="20">
        <v>0</v>
      </c>
      <c r="L128" s="21">
        <v>2</v>
      </c>
      <c r="M128" s="22"/>
      <c r="N128" s="26">
        <v>68.38</v>
      </c>
      <c r="O128" s="27">
        <v>8544</v>
      </c>
      <c r="P128" s="28">
        <f t="shared" si="1"/>
        <v>70.779725969046751</v>
      </c>
    </row>
    <row r="129" spans="1:16" x14ac:dyDescent="0.25">
      <c r="A129" s="11" t="s">
        <v>162</v>
      </c>
      <c r="B129" s="12">
        <v>2021</v>
      </c>
      <c r="C129" s="12">
        <v>6</v>
      </c>
      <c r="D129" s="13" t="s">
        <v>151</v>
      </c>
      <c r="E129" s="14">
        <v>1940.81</v>
      </c>
      <c r="F129" s="15">
        <v>164.61</v>
      </c>
      <c r="G129" s="16">
        <v>84.817099999999996</v>
      </c>
      <c r="H129" s="17">
        <v>46391.4</v>
      </c>
      <c r="I129" s="18">
        <v>48119</v>
      </c>
      <c r="J129" s="19">
        <v>0</v>
      </c>
      <c r="K129" s="20">
        <v>0</v>
      </c>
      <c r="L129" s="21">
        <v>2</v>
      </c>
      <c r="M129" s="22"/>
      <c r="N129" s="26">
        <v>73.510000000000005</v>
      </c>
      <c r="O129" s="27">
        <v>8927</v>
      </c>
      <c r="P129" s="28">
        <f t="shared" si="1"/>
        <v>79.500616828297126</v>
      </c>
    </row>
    <row r="130" spans="1:16" x14ac:dyDescent="0.25">
      <c r="A130" s="11" t="s">
        <v>163</v>
      </c>
      <c r="B130" s="12">
        <v>2021</v>
      </c>
      <c r="C130" s="12">
        <v>7</v>
      </c>
      <c r="D130" s="13" t="s">
        <v>164</v>
      </c>
      <c r="E130" s="14">
        <v>1871.49</v>
      </c>
      <c r="F130" s="15">
        <v>158.71</v>
      </c>
      <c r="G130" s="16">
        <v>84.803200000000004</v>
      </c>
      <c r="H130" s="17">
        <v>45842.2</v>
      </c>
      <c r="I130" s="18">
        <v>12380</v>
      </c>
      <c r="J130" s="19">
        <v>0</v>
      </c>
      <c r="K130" s="20">
        <v>1</v>
      </c>
      <c r="L130" s="21">
        <v>2</v>
      </c>
      <c r="M130" s="22"/>
      <c r="N130" s="26">
        <v>74.400000000000006</v>
      </c>
      <c r="O130" s="27">
        <v>9474</v>
      </c>
      <c r="P130" s="28">
        <f t="shared" si="1"/>
        <v>85.393508347080683</v>
      </c>
    </row>
    <row r="131" spans="1:16" x14ac:dyDescent="0.25">
      <c r="A131" s="11" t="s">
        <v>165</v>
      </c>
      <c r="B131" s="12">
        <v>2021</v>
      </c>
      <c r="C131" s="12">
        <v>8</v>
      </c>
      <c r="D131" s="13" t="s">
        <v>164</v>
      </c>
      <c r="E131" s="14">
        <v>1810.1</v>
      </c>
      <c r="F131" s="15">
        <v>153.77000000000001</v>
      </c>
      <c r="G131" s="16">
        <v>84.969099999999997</v>
      </c>
      <c r="H131" s="17">
        <v>48060</v>
      </c>
      <c r="I131" s="18">
        <v>19604</v>
      </c>
      <c r="J131" s="19">
        <v>0</v>
      </c>
      <c r="K131" s="20">
        <v>0</v>
      </c>
      <c r="L131" s="21">
        <v>2</v>
      </c>
      <c r="M131" s="22"/>
      <c r="N131" s="26">
        <v>70.59</v>
      </c>
      <c r="O131" s="27">
        <v>9562</v>
      </c>
      <c r="P131" s="28">
        <f t="shared" si="1"/>
        <v>81.773099986516158</v>
      </c>
    </row>
    <row r="132" spans="1:16" x14ac:dyDescent="0.25">
      <c r="A132" s="11" t="s">
        <v>166</v>
      </c>
      <c r="B132" s="12">
        <v>2021</v>
      </c>
      <c r="C132" s="12">
        <v>9</v>
      </c>
      <c r="D132" s="13" t="s">
        <v>164</v>
      </c>
      <c r="E132" s="14">
        <v>1726.71</v>
      </c>
      <c r="F132" s="15">
        <v>147.22</v>
      </c>
      <c r="G132" s="16">
        <v>85.264499999999998</v>
      </c>
      <c r="H132" s="17">
        <v>46199.8</v>
      </c>
      <c r="I132" s="18">
        <v>42008</v>
      </c>
      <c r="J132" s="19">
        <v>0</v>
      </c>
      <c r="K132" s="20">
        <v>0</v>
      </c>
      <c r="L132" s="21">
        <v>2</v>
      </c>
      <c r="M132" s="22"/>
      <c r="N132" s="26">
        <v>74.75</v>
      </c>
      <c r="O132" s="27">
        <v>9662</v>
      </c>
      <c r="P132" s="28">
        <f t="shared" ref="P132:P190" si="2">IF(OR(N132="",O132=""),"",N132*O132/($N$4*$O$4)*100)</f>
        <v>87.497726948654659</v>
      </c>
    </row>
    <row r="133" spans="1:16" x14ac:dyDescent="0.25">
      <c r="A133" s="11" t="s">
        <v>167</v>
      </c>
      <c r="B133" s="12">
        <v>2021</v>
      </c>
      <c r="C133" s="12">
        <v>10</v>
      </c>
      <c r="D133" s="13" t="s">
        <v>164</v>
      </c>
      <c r="E133" s="14">
        <v>1646.87</v>
      </c>
      <c r="F133" s="15">
        <v>140.99</v>
      </c>
      <c r="G133" s="16">
        <v>85.610699999999994</v>
      </c>
      <c r="H133" s="17">
        <v>46459.3</v>
      </c>
      <c r="I133" s="18">
        <v>65223</v>
      </c>
      <c r="J133" s="19">
        <v>0</v>
      </c>
      <c r="K133" s="20">
        <v>0</v>
      </c>
      <c r="L133" s="21">
        <v>2</v>
      </c>
      <c r="M133" s="22"/>
      <c r="N133" s="26">
        <v>83.87</v>
      </c>
      <c r="O133" s="27">
        <v>9780</v>
      </c>
      <c r="P133" s="28">
        <f t="shared" si="2"/>
        <v>99.372001798330416</v>
      </c>
    </row>
    <row r="134" spans="1:16" x14ac:dyDescent="0.25">
      <c r="A134" s="11" t="s">
        <v>168</v>
      </c>
      <c r="B134" s="12">
        <v>2021</v>
      </c>
      <c r="C134" s="12">
        <v>11</v>
      </c>
      <c r="D134" s="13" t="s">
        <v>164</v>
      </c>
      <c r="E134" s="14">
        <v>1553.7</v>
      </c>
      <c r="F134" s="15">
        <v>133.27000000000001</v>
      </c>
      <c r="G134" s="16">
        <v>85.774699999999996</v>
      </c>
      <c r="H134" s="17">
        <v>44881.1</v>
      </c>
      <c r="I134" s="18">
        <v>102861</v>
      </c>
      <c r="J134" s="19">
        <v>0</v>
      </c>
      <c r="K134" s="20">
        <v>0</v>
      </c>
      <c r="L134" s="21">
        <v>2</v>
      </c>
      <c r="M134" s="22"/>
      <c r="N134" s="26">
        <v>80.89</v>
      </c>
      <c r="O134" s="27">
        <v>9912</v>
      </c>
      <c r="P134" s="28">
        <f t="shared" si="2"/>
        <v>97.13475956780465</v>
      </c>
    </row>
    <row r="135" spans="1:16" x14ac:dyDescent="0.25">
      <c r="A135" s="11" t="s">
        <v>169</v>
      </c>
      <c r="B135" s="12">
        <v>2021</v>
      </c>
      <c r="C135" s="12">
        <v>12</v>
      </c>
      <c r="D135" s="13" t="s">
        <v>164</v>
      </c>
      <c r="E135" s="14">
        <v>1630.66</v>
      </c>
      <c r="F135" s="15">
        <v>139.91</v>
      </c>
      <c r="G135" s="16">
        <v>85.8</v>
      </c>
      <c r="H135" s="17">
        <v>46153.9</v>
      </c>
      <c r="I135" s="18">
        <v>131316</v>
      </c>
      <c r="J135" s="19">
        <v>0</v>
      </c>
      <c r="K135" s="20">
        <v>0</v>
      </c>
      <c r="L135" s="21">
        <v>2</v>
      </c>
      <c r="M135" s="22"/>
      <c r="N135" s="26">
        <v>74.680000000000007</v>
      </c>
      <c r="O135" s="27">
        <v>10022</v>
      </c>
      <c r="P135" s="28">
        <f t="shared" si="2"/>
        <v>90.672846216461366</v>
      </c>
    </row>
    <row r="136" spans="1:16" x14ac:dyDescent="0.25">
      <c r="A136" s="11" t="s">
        <v>170</v>
      </c>
      <c r="B136" s="12">
        <v>2022</v>
      </c>
      <c r="C136" s="12">
        <v>1</v>
      </c>
      <c r="D136" s="13" t="s">
        <v>164</v>
      </c>
      <c r="E136" s="14">
        <v>1704.53</v>
      </c>
      <c r="F136" s="15">
        <v>146.51</v>
      </c>
      <c r="G136" s="16">
        <v>85.954499999999996</v>
      </c>
      <c r="H136" s="17">
        <v>44951.199999999997</v>
      </c>
      <c r="I136" s="18">
        <v>109698</v>
      </c>
      <c r="J136" s="19">
        <v>0</v>
      </c>
      <c r="K136" s="20">
        <v>0</v>
      </c>
      <c r="L136" s="21">
        <v>2.5</v>
      </c>
      <c r="M136" s="22"/>
      <c r="N136" s="26">
        <v>85.62</v>
      </c>
      <c r="O136" s="27">
        <v>10145</v>
      </c>
      <c r="P136" s="28">
        <f t="shared" si="2"/>
        <v>105.23151323252071</v>
      </c>
    </row>
    <row r="137" spans="1:16" x14ac:dyDescent="0.25">
      <c r="A137" s="11" t="s">
        <v>171</v>
      </c>
      <c r="B137" s="12">
        <v>2022</v>
      </c>
      <c r="C137" s="12">
        <v>2</v>
      </c>
      <c r="D137" s="13" t="s">
        <v>164</v>
      </c>
      <c r="E137" s="14">
        <v>1494.47</v>
      </c>
      <c r="F137" s="15">
        <v>128.52000000000001</v>
      </c>
      <c r="G137" s="16">
        <v>86</v>
      </c>
      <c r="H137" s="17">
        <v>45947.8</v>
      </c>
      <c r="I137" s="18">
        <v>92569</v>
      </c>
      <c r="J137" s="19">
        <v>0</v>
      </c>
      <c r="K137" s="20">
        <v>0</v>
      </c>
      <c r="L137" s="21">
        <v>2.5</v>
      </c>
      <c r="M137" s="22"/>
      <c r="N137" s="26">
        <v>94.27</v>
      </c>
      <c r="O137" s="27">
        <v>10225</v>
      </c>
      <c r="P137" s="28">
        <f t="shared" si="2"/>
        <v>116.77647579335095</v>
      </c>
    </row>
    <row r="138" spans="1:16" x14ac:dyDescent="0.25">
      <c r="A138" s="11" t="s">
        <v>172</v>
      </c>
      <c r="B138" s="12">
        <v>2022</v>
      </c>
      <c r="C138" s="12">
        <v>3</v>
      </c>
      <c r="D138" s="13" t="s">
        <v>164</v>
      </c>
      <c r="E138" s="14">
        <v>1859.73</v>
      </c>
      <c r="F138" s="15">
        <v>160.05000000000001</v>
      </c>
      <c r="G138" s="16">
        <v>86.063599999999994</v>
      </c>
      <c r="H138" s="17">
        <v>44146.8</v>
      </c>
      <c r="I138" s="18">
        <v>120316</v>
      </c>
      <c r="J138" s="19">
        <v>0</v>
      </c>
      <c r="K138" s="20">
        <v>0</v>
      </c>
      <c r="L138" s="21">
        <v>2.5</v>
      </c>
      <c r="M138" s="22"/>
      <c r="N138" s="26">
        <v>112.44</v>
      </c>
      <c r="O138" s="27">
        <v>10300</v>
      </c>
      <c r="P138" s="28">
        <f t="shared" si="2"/>
        <v>140.3061159588739</v>
      </c>
    </row>
    <row r="139" spans="1:16" x14ac:dyDescent="0.25">
      <c r="A139" s="11" t="s">
        <v>173</v>
      </c>
      <c r="B139" s="12">
        <v>2022</v>
      </c>
      <c r="C139" s="12">
        <v>4</v>
      </c>
      <c r="D139" s="13" t="s">
        <v>164</v>
      </c>
      <c r="E139" s="14">
        <v>2010.81</v>
      </c>
      <c r="F139" s="15">
        <v>173.39</v>
      </c>
      <c r="G139" s="16">
        <v>86.237399999999994</v>
      </c>
      <c r="H139" s="17">
        <v>44017.599999999999</v>
      </c>
      <c r="I139" s="18">
        <v>103975</v>
      </c>
      <c r="J139" s="19">
        <v>0</v>
      </c>
      <c r="K139" s="20">
        <v>0</v>
      </c>
      <c r="L139" s="21">
        <v>2.5</v>
      </c>
      <c r="M139" s="22"/>
      <c r="N139" s="26">
        <v>106.16</v>
      </c>
      <c r="O139" s="27">
        <v>10441</v>
      </c>
      <c r="P139" s="28">
        <f t="shared" si="2"/>
        <v>134.28315804942451</v>
      </c>
    </row>
    <row r="140" spans="1:16" x14ac:dyDescent="0.25">
      <c r="A140" s="11" t="s">
        <v>174</v>
      </c>
      <c r="B140" s="12">
        <v>2022</v>
      </c>
      <c r="C140" s="12">
        <v>5</v>
      </c>
      <c r="D140" s="13" t="s">
        <v>164</v>
      </c>
      <c r="E140" s="14">
        <v>1885.34</v>
      </c>
      <c r="F140" s="15">
        <v>164.37</v>
      </c>
      <c r="G140" s="16">
        <v>87.341700000000003</v>
      </c>
      <c r="H140" s="17">
        <v>42202</v>
      </c>
      <c r="I140" s="18">
        <v>77421</v>
      </c>
      <c r="J140" s="19">
        <v>1</v>
      </c>
      <c r="K140" s="20">
        <v>0</v>
      </c>
      <c r="L140" s="21">
        <v>2.5</v>
      </c>
      <c r="M140" s="22"/>
      <c r="N140" s="26">
        <v>112.11</v>
      </c>
      <c r="O140" s="27">
        <v>10538</v>
      </c>
      <c r="P140" s="28">
        <f t="shared" si="2"/>
        <v>143.12684153503562</v>
      </c>
    </row>
    <row r="141" spans="1:16" x14ac:dyDescent="0.25">
      <c r="A141" s="11" t="s">
        <v>175</v>
      </c>
      <c r="B141" s="12">
        <v>2022</v>
      </c>
      <c r="C141" s="12">
        <v>6</v>
      </c>
      <c r="D141" s="13" t="s">
        <v>164</v>
      </c>
      <c r="E141" s="14">
        <v>1837.27</v>
      </c>
      <c r="F141" s="15">
        <v>169.09</v>
      </c>
      <c r="G141" s="16">
        <v>92.135800000000003</v>
      </c>
      <c r="H141" s="17">
        <v>41826.699999999997</v>
      </c>
      <c r="I141" s="18">
        <v>111539</v>
      </c>
      <c r="J141" s="19">
        <v>0</v>
      </c>
      <c r="K141" s="20">
        <v>0</v>
      </c>
      <c r="L141" s="21">
        <v>2.5</v>
      </c>
      <c r="M141" s="22"/>
      <c r="N141" s="26">
        <v>117.69</v>
      </c>
      <c r="O141" s="27">
        <v>10646</v>
      </c>
      <c r="P141" s="28">
        <f t="shared" si="2"/>
        <v>151.79049087369128</v>
      </c>
    </row>
    <row r="142" spans="1:16" x14ac:dyDescent="0.25">
      <c r="A142" s="11" t="s">
        <v>176</v>
      </c>
      <c r="B142" s="12">
        <v>2022</v>
      </c>
      <c r="C142" s="12">
        <v>7</v>
      </c>
      <c r="D142" s="13" t="s">
        <v>177</v>
      </c>
      <c r="E142" s="14">
        <v>2096.3200000000002</v>
      </c>
      <c r="F142" s="15">
        <v>196.82</v>
      </c>
      <c r="G142" s="16">
        <v>93.956800000000001</v>
      </c>
      <c r="H142" s="17">
        <v>39599.9</v>
      </c>
      <c r="I142" s="18">
        <v>75499</v>
      </c>
      <c r="J142" s="19">
        <v>0</v>
      </c>
      <c r="K142" s="20">
        <v>1</v>
      </c>
      <c r="L142" s="21">
        <v>2.5</v>
      </c>
      <c r="M142" s="22"/>
      <c r="N142" s="26">
        <v>105.25</v>
      </c>
      <c r="O142" s="27">
        <v>10815</v>
      </c>
      <c r="P142" s="28">
        <f t="shared" si="2"/>
        <v>137.90092173519258</v>
      </c>
    </row>
    <row r="143" spans="1:16" x14ac:dyDescent="0.25">
      <c r="A143" s="11" t="s">
        <v>178</v>
      </c>
      <c r="B143" s="12">
        <v>2022</v>
      </c>
      <c r="C143" s="12">
        <v>8</v>
      </c>
      <c r="D143" s="13" t="s">
        <v>177</v>
      </c>
      <c r="E143" s="14">
        <v>2036.93</v>
      </c>
      <c r="F143" s="15">
        <v>193.32</v>
      </c>
      <c r="G143" s="16">
        <v>94.9</v>
      </c>
      <c r="H143" s="17">
        <v>39065.800000000003</v>
      </c>
      <c r="I143" s="18">
        <v>92908</v>
      </c>
      <c r="J143" s="19">
        <v>0</v>
      </c>
      <c r="K143" s="20">
        <v>0</v>
      </c>
      <c r="L143" s="21">
        <v>2.5</v>
      </c>
      <c r="M143" s="22"/>
      <c r="N143" s="26">
        <v>97.64</v>
      </c>
      <c r="O143" s="27">
        <v>11051</v>
      </c>
      <c r="P143" s="28">
        <f t="shared" si="2"/>
        <v>130.72176119107525</v>
      </c>
    </row>
    <row r="144" spans="1:16" x14ac:dyDescent="0.25">
      <c r="A144" s="11" t="s">
        <v>179</v>
      </c>
      <c r="B144" s="12">
        <v>2022</v>
      </c>
      <c r="C144" s="12">
        <v>9</v>
      </c>
      <c r="D144" s="13" t="s">
        <v>177</v>
      </c>
      <c r="E144" s="14">
        <v>1539.6</v>
      </c>
      <c r="F144" s="15">
        <v>147.21</v>
      </c>
      <c r="G144" s="16">
        <v>95.619</v>
      </c>
      <c r="H144" s="17">
        <v>36476.400000000001</v>
      </c>
      <c r="I144" s="18">
        <v>90814</v>
      </c>
      <c r="J144" s="19">
        <v>0</v>
      </c>
      <c r="K144" s="20">
        <v>0</v>
      </c>
      <c r="L144" s="21">
        <v>2.5</v>
      </c>
      <c r="M144" s="22"/>
      <c r="N144" s="26">
        <v>90.61</v>
      </c>
      <c r="O144" s="27">
        <v>11041</v>
      </c>
      <c r="P144" s="28">
        <f t="shared" si="2"/>
        <v>121.20012870831441</v>
      </c>
    </row>
    <row r="145" spans="1:16" x14ac:dyDescent="0.25">
      <c r="A145" s="11" t="s">
        <v>180</v>
      </c>
      <c r="B145" s="12">
        <v>2022</v>
      </c>
      <c r="C145" s="12">
        <v>10</v>
      </c>
      <c r="D145" s="13" t="s">
        <v>177</v>
      </c>
      <c r="E145" s="14">
        <v>1525.54</v>
      </c>
      <c r="F145" s="15">
        <v>147.38999999999999</v>
      </c>
      <c r="G145" s="16">
        <v>96.65</v>
      </c>
      <c r="H145" s="17">
        <v>35808.699999999997</v>
      </c>
      <c r="I145" s="18">
        <v>77371</v>
      </c>
      <c r="J145" s="19">
        <v>0</v>
      </c>
      <c r="K145" s="20">
        <v>0</v>
      </c>
      <c r="L145" s="21">
        <v>2.5</v>
      </c>
      <c r="M145" s="22"/>
      <c r="N145" s="26">
        <v>93.72</v>
      </c>
      <c r="O145" s="27">
        <v>10957</v>
      </c>
      <c r="P145" s="28">
        <f t="shared" si="2"/>
        <v>124.40633108251275</v>
      </c>
    </row>
    <row r="146" spans="1:16" x14ac:dyDescent="0.25">
      <c r="A146" s="11" t="s">
        <v>181</v>
      </c>
      <c r="B146" s="12">
        <v>2022</v>
      </c>
      <c r="C146" s="12">
        <v>11</v>
      </c>
      <c r="D146" s="13" t="s">
        <v>177</v>
      </c>
      <c r="E146" s="14">
        <v>1595.17</v>
      </c>
      <c r="F146" s="15">
        <v>155.71</v>
      </c>
      <c r="G146" s="16">
        <v>97.636399999999995</v>
      </c>
      <c r="H146" s="17">
        <v>33789.599999999999</v>
      </c>
      <c r="I146" s="18">
        <v>85352</v>
      </c>
      <c r="J146" s="19">
        <v>0</v>
      </c>
      <c r="K146" s="20">
        <v>0</v>
      </c>
      <c r="L146" s="21">
        <v>2.5</v>
      </c>
      <c r="M146" s="22"/>
      <c r="N146" s="26">
        <v>90.94</v>
      </c>
      <c r="O146" s="27">
        <v>10468</v>
      </c>
      <c r="P146" s="28">
        <f t="shared" si="2"/>
        <v>115.32864900004517</v>
      </c>
    </row>
    <row r="147" spans="1:16" x14ac:dyDescent="0.25">
      <c r="A147" s="11" t="s">
        <v>182</v>
      </c>
      <c r="B147" s="12">
        <v>2022</v>
      </c>
      <c r="C147" s="12">
        <v>12</v>
      </c>
      <c r="D147" s="13" t="s">
        <v>177</v>
      </c>
      <c r="E147" s="14">
        <v>1699.7</v>
      </c>
      <c r="F147" s="15">
        <v>168.01</v>
      </c>
      <c r="G147" s="16">
        <v>98.857100000000003</v>
      </c>
      <c r="H147" s="17">
        <v>33747.699999999997</v>
      </c>
      <c r="I147" s="18">
        <v>98411</v>
      </c>
      <c r="J147" s="19">
        <v>0</v>
      </c>
      <c r="K147" s="20">
        <v>0</v>
      </c>
      <c r="L147" s="21">
        <v>2.5</v>
      </c>
      <c r="M147" s="22"/>
      <c r="N147" s="26">
        <v>81.5</v>
      </c>
      <c r="O147" s="27">
        <v>10435</v>
      </c>
      <c r="P147" s="28">
        <f t="shared" si="2"/>
        <v>103.03116318564223</v>
      </c>
    </row>
    <row r="148" spans="1:16" x14ac:dyDescent="0.25">
      <c r="A148" s="11" t="s">
        <v>183</v>
      </c>
      <c r="B148" s="12">
        <v>2023</v>
      </c>
      <c r="C148" s="12">
        <v>1</v>
      </c>
      <c r="D148" s="13" t="s">
        <v>177</v>
      </c>
      <c r="E148" s="14">
        <v>1958.87</v>
      </c>
      <c r="F148" s="15">
        <v>195.67</v>
      </c>
      <c r="G148" s="16">
        <v>99.869600000000005</v>
      </c>
      <c r="H148" s="17">
        <v>32222.6</v>
      </c>
      <c r="I148" s="18">
        <v>104513</v>
      </c>
      <c r="J148" s="19">
        <v>0</v>
      </c>
      <c r="K148" s="20">
        <v>0</v>
      </c>
      <c r="L148" s="21">
        <v>2.5</v>
      </c>
      <c r="M148" s="22"/>
      <c r="N148" s="26">
        <v>84.08</v>
      </c>
      <c r="O148" s="27">
        <v>10453</v>
      </c>
      <c r="P148" s="28">
        <f t="shared" si="2"/>
        <v>106.47611439484497</v>
      </c>
    </row>
    <row r="149" spans="1:16" x14ac:dyDescent="0.25">
      <c r="A149" s="11" t="s">
        <v>184</v>
      </c>
      <c r="B149" s="12">
        <v>2023</v>
      </c>
      <c r="C149" s="12">
        <v>2</v>
      </c>
      <c r="D149" s="13" t="s">
        <v>177</v>
      </c>
      <c r="E149" s="14">
        <v>1560.48</v>
      </c>
      <c r="F149" s="15">
        <v>157.54</v>
      </c>
      <c r="G149" s="16">
        <v>100.9474</v>
      </c>
      <c r="H149" s="17">
        <v>32267</v>
      </c>
      <c r="I149" s="18">
        <v>109059</v>
      </c>
      <c r="J149" s="19">
        <v>0</v>
      </c>
      <c r="K149" s="20">
        <v>0</v>
      </c>
      <c r="L149" s="21">
        <v>2.5</v>
      </c>
      <c r="M149" s="22"/>
      <c r="N149" s="26">
        <v>83.63</v>
      </c>
      <c r="O149" s="27">
        <v>10450</v>
      </c>
      <c r="P149" s="28">
        <f t="shared" si="2"/>
        <v>105.87585438563525</v>
      </c>
    </row>
    <row r="150" spans="1:16" x14ac:dyDescent="0.25">
      <c r="A150" s="11" t="s">
        <v>185</v>
      </c>
      <c r="B150" s="12">
        <v>2023</v>
      </c>
      <c r="C150" s="12">
        <v>3</v>
      </c>
      <c r="D150" s="13" t="s">
        <v>177</v>
      </c>
      <c r="E150" s="14">
        <v>2022.47</v>
      </c>
      <c r="F150" s="15">
        <v>206.22</v>
      </c>
      <c r="G150" s="16">
        <v>101.95</v>
      </c>
      <c r="H150" s="17">
        <v>31142.7</v>
      </c>
      <c r="I150" s="18">
        <v>109438</v>
      </c>
      <c r="J150" s="19">
        <v>0</v>
      </c>
      <c r="K150" s="20">
        <v>0</v>
      </c>
      <c r="L150" s="21">
        <v>2.5</v>
      </c>
      <c r="M150" s="22"/>
      <c r="N150" s="26">
        <v>79.260000000000005</v>
      </c>
      <c r="O150" s="27">
        <v>10464</v>
      </c>
      <c r="P150" s="28">
        <f t="shared" si="2"/>
        <v>100.47785142403562</v>
      </c>
    </row>
    <row r="151" spans="1:16" x14ac:dyDescent="0.25">
      <c r="A151" s="11" t="s">
        <v>186</v>
      </c>
      <c r="B151" s="12">
        <v>2023</v>
      </c>
      <c r="C151" s="12">
        <v>4</v>
      </c>
      <c r="D151" s="13" t="s">
        <v>177</v>
      </c>
      <c r="E151" s="14">
        <v>1684.91</v>
      </c>
      <c r="F151" s="15">
        <v>173.41</v>
      </c>
      <c r="G151" s="16">
        <v>102.88890000000001</v>
      </c>
      <c r="H151" s="17">
        <v>30965.3</v>
      </c>
      <c r="I151" s="18">
        <v>78833</v>
      </c>
      <c r="J151" s="19">
        <v>1</v>
      </c>
      <c r="K151" s="20">
        <v>0</v>
      </c>
      <c r="L151" s="21">
        <v>2.5</v>
      </c>
      <c r="M151" s="22"/>
      <c r="N151" s="26">
        <v>83.54</v>
      </c>
      <c r="O151" s="27">
        <v>10461</v>
      </c>
      <c r="P151" s="28">
        <f t="shared" si="2"/>
        <v>105.87324242097141</v>
      </c>
    </row>
    <row r="152" spans="1:16" x14ac:dyDescent="0.25">
      <c r="A152" s="11" t="s">
        <v>187</v>
      </c>
      <c r="B152" s="12">
        <v>2023</v>
      </c>
      <c r="C152" s="12">
        <v>5</v>
      </c>
      <c r="D152" s="13" t="s">
        <v>177</v>
      </c>
      <c r="E152" s="14">
        <v>1691.66</v>
      </c>
      <c r="F152" s="15">
        <v>176.59</v>
      </c>
      <c r="G152" s="16">
        <v>104.4286</v>
      </c>
      <c r="H152" s="17">
        <v>29873.9</v>
      </c>
      <c r="I152" s="18">
        <v>101558</v>
      </c>
      <c r="J152" s="19">
        <v>0</v>
      </c>
      <c r="K152" s="20">
        <v>0</v>
      </c>
      <c r="L152" s="21">
        <v>2.5</v>
      </c>
      <c r="M152" s="22"/>
      <c r="N152" s="26">
        <v>75.75</v>
      </c>
      <c r="O152" s="27">
        <v>9959</v>
      </c>
      <c r="P152" s="28">
        <f t="shared" si="2"/>
        <v>91.393836902190515</v>
      </c>
    </row>
    <row r="153" spans="1:16" x14ac:dyDescent="0.25">
      <c r="A153" s="11" t="s">
        <v>188</v>
      </c>
      <c r="B153" s="12">
        <v>2023</v>
      </c>
      <c r="C153" s="12">
        <v>6</v>
      </c>
      <c r="D153" s="13" t="s">
        <v>177</v>
      </c>
      <c r="E153" s="14">
        <v>2199.08</v>
      </c>
      <c r="F153" s="15">
        <v>232.85</v>
      </c>
      <c r="G153" s="16">
        <v>105.91670000000001</v>
      </c>
      <c r="H153" s="17">
        <v>31203</v>
      </c>
      <c r="I153" s="18">
        <v>114175</v>
      </c>
      <c r="J153" s="19">
        <v>0</v>
      </c>
      <c r="K153" s="20">
        <v>1</v>
      </c>
      <c r="L153" s="21">
        <v>2.5</v>
      </c>
      <c r="M153" s="22"/>
      <c r="N153" s="26">
        <v>74.97</v>
      </c>
      <c r="O153" s="27">
        <v>9956</v>
      </c>
      <c r="P153" s="28">
        <f t="shared" si="2"/>
        <v>90.425504308469627</v>
      </c>
    </row>
    <row r="154" spans="1:16" x14ac:dyDescent="0.25">
      <c r="A154" s="11" t="s">
        <v>189</v>
      </c>
      <c r="B154" s="12">
        <v>2023</v>
      </c>
      <c r="C154" s="12">
        <v>7</v>
      </c>
      <c r="D154" s="13" t="s">
        <v>190</v>
      </c>
      <c r="E154" s="14">
        <v>1973.15</v>
      </c>
      <c r="F154" s="15">
        <v>214.59</v>
      </c>
      <c r="G154" s="16">
        <v>108.74</v>
      </c>
      <c r="H154" s="17">
        <v>29732.1</v>
      </c>
      <c r="I154" s="18">
        <v>125850</v>
      </c>
      <c r="J154" s="19">
        <v>0</v>
      </c>
      <c r="K154" s="20">
        <v>0</v>
      </c>
      <c r="L154" s="21">
        <v>2.5</v>
      </c>
      <c r="M154" s="22"/>
      <c r="N154" s="26">
        <v>80.11</v>
      </c>
      <c r="O154" s="27">
        <v>9013</v>
      </c>
      <c r="P154" s="28">
        <f t="shared" si="2"/>
        <v>87.473125294466911</v>
      </c>
    </row>
    <row r="155" spans="1:16" x14ac:dyDescent="0.25">
      <c r="A155" s="11" t="s">
        <v>191</v>
      </c>
      <c r="B155" s="12">
        <v>2023</v>
      </c>
      <c r="C155" s="12">
        <v>8</v>
      </c>
      <c r="D155" s="13" t="s">
        <v>190</v>
      </c>
      <c r="E155" s="14">
        <v>1599.45</v>
      </c>
      <c r="F155" s="15">
        <v>175.07</v>
      </c>
      <c r="G155" s="16">
        <v>109.434</v>
      </c>
      <c r="H155" s="17">
        <v>29260.7</v>
      </c>
      <c r="I155" s="18">
        <v>138675</v>
      </c>
      <c r="J155" s="19">
        <v>0</v>
      </c>
      <c r="K155" s="20">
        <v>0</v>
      </c>
      <c r="L155" s="21">
        <v>2.5</v>
      </c>
      <c r="M155" s="22"/>
      <c r="N155" s="26">
        <v>85.17</v>
      </c>
      <c r="O155" s="27">
        <v>8918</v>
      </c>
      <c r="P155" s="28">
        <f t="shared" si="2"/>
        <v>92.017971673752044</v>
      </c>
    </row>
    <row r="156" spans="1:16" x14ac:dyDescent="0.25">
      <c r="A156" s="11" t="s">
        <v>192</v>
      </c>
      <c r="B156" s="12">
        <v>2023</v>
      </c>
      <c r="C156" s="12">
        <v>9</v>
      </c>
      <c r="D156" s="13" t="s">
        <v>190</v>
      </c>
      <c r="E156" s="14">
        <v>1334.35</v>
      </c>
      <c r="F156" s="15">
        <v>146.74</v>
      </c>
      <c r="G156" s="16">
        <v>109.98139999999999</v>
      </c>
      <c r="H156" s="17">
        <v>26911</v>
      </c>
      <c r="I156" s="18">
        <v>107584</v>
      </c>
      <c r="J156" s="19">
        <v>0</v>
      </c>
      <c r="K156" s="20">
        <v>0</v>
      </c>
      <c r="L156" s="21">
        <v>2.5</v>
      </c>
      <c r="M156" s="22"/>
      <c r="N156" s="26">
        <v>92.67</v>
      </c>
      <c r="O156" s="27">
        <v>8975</v>
      </c>
      <c r="P156" s="28">
        <f t="shared" si="2"/>
        <v>100.76092854616907</v>
      </c>
    </row>
    <row r="157" spans="1:16" x14ac:dyDescent="0.25">
      <c r="A157" s="11" t="s">
        <v>193</v>
      </c>
      <c r="B157" s="12">
        <v>2023</v>
      </c>
      <c r="C157" s="12">
        <v>10</v>
      </c>
      <c r="D157" s="13" t="s">
        <v>190</v>
      </c>
      <c r="E157" s="14">
        <v>1971.43</v>
      </c>
      <c r="F157" s="15">
        <v>217.82</v>
      </c>
      <c r="G157" s="16">
        <v>110.4798</v>
      </c>
      <c r="H157" s="17">
        <v>26481</v>
      </c>
      <c r="I157" s="18">
        <v>110158</v>
      </c>
      <c r="J157" s="19">
        <v>0</v>
      </c>
      <c r="K157" s="20">
        <v>0</v>
      </c>
      <c r="L157" s="21">
        <v>2.5</v>
      </c>
      <c r="M157" s="22"/>
      <c r="N157" s="26">
        <v>88.95</v>
      </c>
      <c r="O157" s="27">
        <v>8940</v>
      </c>
      <c r="P157" s="28">
        <f t="shared" si="2"/>
        <v>96.338972923642558</v>
      </c>
    </row>
    <row r="158" spans="1:16" x14ac:dyDescent="0.25">
      <c r="A158" s="11" t="s">
        <v>194</v>
      </c>
      <c r="B158" s="12">
        <v>2023</v>
      </c>
      <c r="C158" s="12">
        <v>11</v>
      </c>
      <c r="D158" s="13" t="s">
        <v>190</v>
      </c>
      <c r="E158" s="14">
        <v>1930.04</v>
      </c>
      <c r="F158" s="15">
        <v>214</v>
      </c>
      <c r="G158" s="16">
        <v>110.8623</v>
      </c>
      <c r="H158" s="17">
        <v>24894.6</v>
      </c>
      <c r="I158" s="18">
        <v>110413</v>
      </c>
      <c r="J158" s="19">
        <v>0</v>
      </c>
      <c r="K158" s="20">
        <v>0</v>
      </c>
      <c r="L158" s="21">
        <v>2.5</v>
      </c>
      <c r="M158" s="22"/>
      <c r="N158" s="26">
        <v>82.19</v>
      </c>
      <c r="O158" s="27">
        <v>8818</v>
      </c>
      <c r="P158" s="28">
        <f t="shared" si="2"/>
        <v>87.80264838194482</v>
      </c>
    </row>
    <row r="159" spans="1:16" x14ac:dyDescent="0.25">
      <c r="A159" s="11" t="s">
        <v>195</v>
      </c>
      <c r="B159" s="12">
        <v>2023</v>
      </c>
      <c r="C159" s="12">
        <v>12</v>
      </c>
      <c r="D159" s="13" t="s">
        <v>190</v>
      </c>
      <c r="E159" s="14">
        <v>1991.26</v>
      </c>
      <c r="F159" s="15">
        <v>219.34</v>
      </c>
      <c r="G159" s="16">
        <v>110.15</v>
      </c>
      <c r="H159" s="17">
        <v>27130</v>
      </c>
      <c r="I159" s="18">
        <v>95197</v>
      </c>
      <c r="J159" s="19">
        <v>0</v>
      </c>
      <c r="K159" s="20">
        <v>0</v>
      </c>
      <c r="L159" s="21">
        <v>2.5</v>
      </c>
      <c r="M159" s="22"/>
      <c r="N159" s="26">
        <v>77.540000000000006</v>
      </c>
      <c r="O159" s="27">
        <v>8944</v>
      </c>
      <c r="P159" s="28">
        <f t="shared" si="2"/>
        <v>84.018732971801555</v>
      </c>
    </row>
    <row r="160" spans="1:16" x14ac:dyDescent="0.25">
      <c r="A160" s="11" t="s">
        <v>196</v>
      </c>
      <c r="B160" s="12">
        <v>2024</v>
      </c>
      <c r="C160" s="12">
        <v>1</v>
      </c>
      <c r="D160" s="13" t="s">
        <v>190</v>
      </c>
      <c r="E160" s="14">
        <v>2113.15</v>
      </c>
      <c r="F160" s="15">
        <v>232.45</v>
      </c>
      <c r="G160" s="16">
        <v>110</v>
      </c>
      <c r="H160" s="17">
        <v>25111.9</v>
      </c>
      <c r="I160" s="18">
        <v>87852</v>
      </c>
      <c r="J160" s="19">
        <v>0</v>
      </c>
      <c r="K160" s="20">
        <v>0</v>
      </c>
      <c r="L160" s="21">
        <v>2.5</v>
      </c>
      <c r="M160" s="22"/>
      <c r="N160" s="26">
        <v>79.11</v>
      </c>
      <c r="O160" s="27">
        <v>8956</v>
      </c>
      <c r="P160" s="28">
        <f t="shared" si="2"/>
        <v>85.834920683380091</v>
      </c>
    </row>
    <row r="161" spans="1:16" x14ac:dyDescent="0.25">
      <c r="A161" s="11" t="s">
        <v>197</v>
      </c>
      <c r="B161" s="12">
        <v>2024</v>
      </c>
      <c r="C161" s="12">
        <v>2</v>
      </c>
      <c r="D161" s="13" t="s">
        <v>190</v>
      </c>
      <c r="E161" s="14">
        <v>2164.56</v>
      </c>
      <c r="F161" s="15">
        <v>238.1</v>
      </c>
      <c r="G161" s="16">
        <v>110</v>
      </c>
      <c r="H161" s="17">
        <v>25966.6</v>
      </c>
      <c r="I161" s="18">
        <v>74306</v>
      </c>
      <c r="J161" s="19">
        <v>0</v>
      </c>
      <c r="K161" s="20">
        <v>0</v>
      </c>
      <c r="L161" s="21">
        <v>2.5</v>
      </c>
      <c r="M161" s="22"/>
      <c r="N161" s="26">
        <v>81.8</v>
      </c>
      <c r="O161" s="27">
        <v>9011</v>
      </c>
      <c r="P161" s="28">
        <f t="shared" si="2"/>
        <v>89.298637816814278</v>
      </c>
    </row>
    <row r="162" spans="1:16" x14ac:dyDescent="0.25">
      <c r="A162" s="11" t="s">
        <v>198</v>
      </c>
      <c r="B162" s="12">
        <v>2024</v>
      </c>
      <c r="C162" s="12">
        <v>3</v>
      </c>
      <c r="D162" s="13" t="s">
        <v>190</v>
      </c>
      <c r="E162" s="14">
        <v>1997.07</v>
      </c>
      <c r="F162" s="15">
        <v>219.68</v>
      </c>
      <c r="G162" s="16">
        <v>110</v>
      </c>
      <c r="H162" s="17">
        <v>25231.7</v>
      </c>
      <c r="I162" s="18">
        <v>74679</v>
      </c>
      <c r="J162" s="19">
        <v>0</v>
      </c>
      <c r="K162" s="20">
        <v>0</v>
      </c>
      <c r="L162" s="21">
        <v>2.5</v>
      </c>
      <c r="M162" s="22"/>
      <c r="N162" s="26">
        <v>84.96</v>
      </c>
      <c r="O162" s="27">
        <v>8973</v>
      </c>
      <c r="P162" s="28">
        <f t="shared" si="2"/>
        <v>92.357190286835149</v>
      </c>
    </row>
    <row r="163" spans="1:16" x14ac:dyDescent="0.25">
      <c r="A163" s="11" t="s">
        <v>199</v>
      </c>
      <c r="B163" s="12">
        <v>2024</v>
      </c>
      <c r="C163" s="12">
        <v>4</v>
      </c>
      <c r="D163" s="13" t="s">
        <v>190</v>
      </c>
      <c r="E163" s="14">
        <v>2044.23</v>
      </c>
      <c r="F163" s="15">
        <v>225.03</v>
      </c>
      <c r="G163" s="16">
        <v>110</v>
      </c>
      <c r="H163" s="17">
        <v>25365.200000000001</v>
      </c>
      <c r="I163" s="18">
        <v>85400</v>
      </c>
      <c r="J163" s="19">
        <v>1</v>
      </c>
      <c r="K163" s="20">
        <v>0</v>
      </c>
      <c r="L163" s="21">
        <v>2.5</v>
      </c>
      <c r="M163" s="22"/>
      <c r="N163" s="26">
        <v>88.97</v>
      </c>
      <c r="O163" s="27">
        <v>8986</v>
      </c>
      <c r="P163" s="28">
        <f t="shared" si="2"/>
        <v>96.85644964462864</v>
      </c>
    </row>
    <row r="164" spans="1:16" x14ac:dyDescent="0.25">
      <c r="A164" s="11" t="s">
        <v>200</v>
      </c>
      <c r="B164" s="12">
        <v>2024</v>
      </c>
      <c r="C164" s="12">
        <v>5</v>
      </c>
      <c r="D164" s="13" t="s">
        <v>190</v>
      </c>
      <c r="E164" s="14">
        <v>2254.9299999999998</v>
      </c>
      <c r="F164" s="15">
        <v>259.38</v>
      </c>
      <c r="G164" s="16">
        <v>115.3476</v>
      </c>
      <c r="H164" s="17">
        <v>24197.200000000001</v>
      </c>
      <c r="I164" s="18">
        <v>131969</v>
      </c>
      <c r="J164" s="19">
        <v>0</v>
      </c>
      <c r="K164" s="20">
        <v>0</v>
      </c>
      <c r="L164" s="21">
        <v>2.5</v>
      </c>
      <c r="M164" s="22"/>
      <c r="N164" s="26">
        <v>83.05</v>
      </c>
      <c r="O164" s="27">
        <v>8993</v>
      </c>
      <c r="P164" s="28">
        <f t="shared" si="2"/>
        <v>90.482120702085439</v>
      </c>
    </row>
    <row r="165" spans="1:16" x14ac:dyDescent="0.25">
      <c r="A165" s="11" t="s">
        <v>201</v>
      </c>
      <c r="B165" s="12">
        <v>2024</v>
      </c>
      <c r="C165" s="12">
        <v>6</v>
      </c>
      <c r="D165" s="13" t="s">
        <v>190</v>
      </c>
      <c r="E165" s="14">
        <v>2538.6</v>
      </c>
      <c r="F165" s="15">
        <v>299.39999999999998</v>
      </c>
      <c r="G165" s="16">
        <v>117.9787</v>
      </c>
      <c r="H165" s="17">
        <v>26714.2</v>
      </c>
      <c r="I165" s="18">
        <v>55045</v>
      </c>
      <c r="J165" s="19">
        <v>0</v>
      </c>
      <c r="K165" s="20">
        <v>1</v>
      </c>
      <c r="L165" s="21">
        <v>2.5</v>
      </c>
      <c r="M165" s="22"/>
      <c r="N165" s="26">
        <v>82.92</v>
      </c>
      <c r="O165" s="27">
        <v>8830</v>
      </c>
      <c r="P165" s="28">
        <f t="shared" si="2"/>
        <v>88.703046876164166</v>
      </c>
    </row>
    <row r="166" spans="1:16" x14ac:dyDescent="0.25">
      <c r="A166" s="11" t="s">
        <v>202</v>
      </c>
      <c r="B166" s="12">
        <v>2024</v>
      </c>
      <c r="C166" s="12">
        <v>7</v>
      </c>
      <c r="D166" s="13" t="s">
        <v>203</v>
      </c>
      <c r="E166" s="14">
        <v>1913.77</v>
      </c>
      <c r="F166" s="15">
        <v>225.69</v>
      </c>
      <c r="G166" s="16">
        <v>117.9789</v>
      </c>
      <c r="H166" s="17">
        <v>25823.599999999999</v>
      </c>
      <c r="I166" s="18">
        <v>71441</v>
      </c>
      <c r="J166" s="19">
        <v>0</v>
      </c>
      <c r="K166" s="20">
        <v>0</v>
      </c>
      <c r="L166" s="21">
        <v>2.5</v>
      </c>
      <c r="M166" s="22" t="s">
        <v>204</v>
      </c>
      <c r="N166" s="26">
        <v>84.05</v>
      </c>
      <c r="O166" s="27">
        <v>8941</v>
      </c>
      <c r="P166" s="28">
        <f t="shared" si="2"/>
        <v>91.042118172501844</v>
      </c>
    </row>
    <row r="167" spans="1:16" x14ac:dyDescent="0.25">
      <c r="A167" s="11" t="s">
        <v>205</v>
      </c>
      <c r="B167" s="12">
        <v>2024</v>
      </c>
      <c r="C167" s="12">
        <v>8</v>
      </c>
      <c r="D167" s="13" t="s">
        <v>203</v>
      </c>
      <c r="E167" s="14">
        <v>2224.15</v>
      </c>
      <c r="F167" s="15">
        <v>264.06</v>
      </c>
      <c r="G167" s="16">
        <v>118.73009999999999</v>
      </c>
      <c r="H167" s="17">
        <v>25580.799999999999</v>
      </c>
      <c r="I167" s="18">
        <v>53462</v>
      </c>
      <c r="J167" s="19">
        <v>0</v>
      </c>
      <c r="K167" s="20">
        <v>0</v>
      </c>
      <c r="L167" s="21">
        <v>2.5</v>
      </c>
      <c r="M167" s="22" t="s">
        <v>204</v>
      </c>
      <c r="N167" s="26">
        <v>79.02</v>
      </c>
      <c r="O167" s="27">
        <v>8992</v>
      </c>
      <c r="P167" s="28">
        <f t="shared" si="2"/>
        <v>86.081903991399415</v>
      </c>
    </row>
    <row r="168" spans="1:16" x14ac:dyDescent="0.25">
      <c r="A168" s="11" t="s">
        <v>206</v>
      </c>
      <c r="B168" s="12">
        <v>2024</v>
      </c>
      <c r="C168" s="12">
        <v>9</v>
      </c>
      <c r="D168" s="13" t="s">
        <v>203</v>
      </c>
      <c r="E168" s="14">
        <v>2404.11</v>
      </c>
      <c r="F168" s="15">
        <v>288.49</v>
      </c>
      <c r="G168" s="16">
        <v>120</v>
      </c>
      <c r="H168" s="17">
        <v>24863</v>
      </c>
      <c r="I168" s="18">
        <v>64677</v>
      </c>
      <c r="J168" s="19">
        <v>0</v>
      </c>
      <c r="K168" s="20">
        <v>0</v>
      </c>
      <c r="L168" s="21">
        <v>2.5</v>
      </c>
      <c r="M168" s="22" t="s">
        <v>204</v>
      </c>
      <c r="N168" s="26">
        <v>73.06</v>
      </c>
      <c r="O168" s="27">
        <v>8975</v>
      </c>
      <c r="P168" s="28">
        <f t="shared" si="2"/>
        <v>79.438798312108688</v>
      </c>
    </row>
    <row r="169" spans="1:16" x14ac:dyDescent="0.25">
      <c r="A169" s="11" t="s">
        <v>207</v>
      </c>
      <c r="B169" s="12">
        <v>2024</v>
      </c>
      <c r="C169" s="12">
        <v>10</v>
      </c>
      <c r="D169" s="13" t="s">
        <v>203</v>
      </c>
      <c r="E169" s="14">
        <v>2395.08</v>
      </c>
      <c r="F169" s="15">
        <v>287.41000000000003</v>
      </c>
      <c r="G169" s="16">
        <v>119.99939999999999</v>
      </c>
      <c r="H169" s="17">
        <v>25486.7</v>
      </c>
      <c r="I169" s="18">
        <v>104858</v>
      </c>
      <c r="J169" s="19">
        <v>0</v>
      </c>
      <c r="K169" s="20">
        <v>0</v>
      </c>
      <c r="L169" s="21">
        <v>2.5</v>
      </c>
      <c r="M169" s="22" t="s">
        <v>204</v>
      </c>
      <c r="N169" s="26">
        <v>75.27</v>
      </c>
      <c r="O169" s="27">
        <v>8972</v>
      </c>
      <c r="P169" s="28">
        <f t="shared" si="2"/>
        <v>81.814394711716503</v>
      </c>
    </row>
    <row r="170" spans="1:16" x14ac:dyDescent="0.25">
      <c r="A170" s="11" t="s">
        <v>208</v>
      </c>
      <c r="B170" s="12">
        <v>2024</v>
      </c>
      <c r="C170" s="12">
        <v>11</v>
      </c>
      <c r="D170" s="13" t="s">
        <v>203</v>
      </c>
      <c r="E170" s="14">
        <v>2199.9899999999998</v>
      </c>
      <c r="F170" s="15">
        <v>264</v>
      </c>
      <c r="G170" s="16">
        <v>120</v>
      </c>
      <c r="H170" s="17">
        <v>24350.2</v>
      </c>
      <c r="I170" s="18">
        <v>102987</v>
      </c>
      <c r="J170" s="19">
        <v>0</v>
      </c>
      <c r="K170" s="20">
        <v>0</v>
      </c>
      <c r="L170" s="21">
        <v>2.5</v>
      </c>
      <c r="M170" s="22" t="s">
        <v>204</v>
      </c>
      <c r="N170" s="26">
        <v>73.510000000000005</v>
      </c>
      <c r="O170" s="27">
        <v>8925</v>
      </c>
      <c r="P170" s="28">
        <f t="shared" si="2"/>
        <v>79.482805555343532</v>
      </c>
    </row>
    <row r="171" spans="1:16" x14ac:dyDescent="0.25">
      <c r="A171" s="11" t="s">
        <v>209</v>
      </c>
      <c r="B171" s="12">
        <v>2024</v>
      </c>
      <c r="C171" s="12">
        <v>12</v>
      </c>
      <c r="D171" s="13" t="s">
        <v>203</v>
      </c>
      <c r="E171" s="14">
        <v>2638.78</v>
      </c>
      <c r="F171" s="15">
        <v>316.64999999999998</v>
      </c>
      <c r="G171" s="16">
        <v>120</v>
      </c>
      <c r="H171" s="17">
        <v>26214.799999999999</v>
      </c>
      <c r="I171" s="18">
        <v>105293</v>
      </c>
      <c r="J171" s="19">
        <v>0</v>
      </c>
      <c r="K171" s="20">
        <v>0</v>
      </c>
      <c r="L171" s="21">
        <v>2.5</v>
      </c>
      <c r="M171" s="22" t="s">
        <v>204</v>
      </c>
      <c r="N171" s="26">
        <v>73.23</v>
      </c>
      <c r="O171" s="27">
        <v>8905</v>
      </c>
      <c r="P171" s="28">
        <f t="shared" si="2"/>
        <v>79.002620808514521</v>
      </c>
    </row>
    <row r="172" spans="1:16" x14ac:dyDescent="0.25">
      <c r="A172" s="11" t="s">
        <v>210</v>
      </c>
      <c r="B172" s="12">
        <v>2025</v>
      </c>
      <c r="C172" s="12">
        <v>1</v>
      </c>
      <c r="D172" s="13" t="s">
        <v>203</v>
      </c>
      <c r="E172" s="14">
        <v>2185.23</v>
      </c>
      <c r="F172" s="15">
        <v>262.23</v>
      </c>
      <c r="G172" s="16">
        <v>121.9091</v>
      </c>
      <c r="H172" s="17">
        <v>25305.599999999999</v>
      </c>
      <c r="I172" s="18">
        <v>97867</v>
      </c>
      <c r="J172" s="19">
        <v>0</v>
      </c>
      <c r="K172" s="20">
        <v>0</v>
      </c>
      <c r="L172" s="21">
        <v>2.5</v>
      </c>
      <c r="M172" s="22" t="s">
        <v>204</v>
      </c>
      <c r="N172" s="26">
        <v>78.19</v>
      </c>
      <c r="O172" s="27">
        <v>8917</v>
      </c>
      <c r="P172" s="28">
        <f t="shared" si="2"/>
        <v>84.467282174443611</v>
      </c>
    </row>
    <row r="173" spans="1:16" x14ac:dyDescent="0.25">
      <c r="A173" s="11" t="s">
        <v>211</v>
      </c>
      <c r="B173" s="12">
        <v>2025</v>
      </c>
      <c r="C173" s="12">
        <v>2</v>
      </c>
      <c r="D173" s="13" t="s">
        <v>203</v>
      </c>
      <c r="E173" s="14">
        <v>2527.65</v>
      </c>
      <c r="F173" s="15">
        <v>308.37</v>
      </c>
      <c r="G173" s="16">
        <v>122</v>
      </c>
      <c r="H173" s="17">
        <v>26175.7</v>
      </c>
      <c r="I173" s="18">
        <v>62436</v>
      </c>
      <c r="J173" s="19">
        <v>0</v>
      </c>
      <c r="K173" s="20">
        <v>0</v>
      </c>
      <c r="L173" s="21">
        <v>2.5</v>
      </c>
      <c r="M173" s="22" t="s">
        <v>204</v>
      </c>
      <c r="N173" s="26">
        <v>75.19</v>
      </c>
      <c r="O173" s="27">
        <v>8947</v>
      </c>
      <c r="P173" s="28">
        <f t="shared" si="2"/>
        <v>81.499709909583132</v>
      </c>
    </row>
    <row r="174" spans="1:16" x14ac:dyDescent="0.25">
      <c r="A174" s="11" t="s">
        <v>212</v>
      </c>
      <c r="B174" s="12">
        <v>2025</v>
      </c>
      <c r="C174" s="12">
        <v>3</v>
      </c>
      <c r="D174" s="13" t="s">
        <v>203</v>
      </c>
      <c r="E174" s="14">
        <v>3295.63</v>
      </c>
      <c r="F174" s="15">
        <v>402.07</v>
      </c>
      <c r="G174" s="16">
        <v>122</v>
      </c>
      <c r="H174" s="17">
        <v>25512</v>
      </c>
      <c r="I174" s="18">
        <v>105035</v>
      </c>
      <c r="J174" s="19">
        <v>1</v>
      </c>
      <c r="K174" s="20">
        <v>0</v>
      </c>
      <c r="L174" s="21">
        <v>2.5</v>
      </c>
      <c r="M174" s="22" t="s">
        <v>204</v>
      </c>
      <c r="N174" s="26">
        <v>71.739999999999995</v>
      </c>
      <c r="O174" s="27">
        <v>8957</v>
      </c>
      <c r="P174" s="28">
        <f t="shared" si="2"/>
        <v>77.847108721090734</v>
      </c>
    </row>
    <row r="175" spans="1:16" x14ac:dyDescent="0.25">
      <c r="A175" s="11" t="s">
        <v>213</v>
      </c>
      <c r="B175" s="12">
        <v>2025</v>
      </c>
      <c r="C175" s="12">
        <v>4</v>
      </c>
      <c r="D175" s="13" t="s">
        <v>203</v>
      </c>
      <c r="E175" s="14">
        <v>2752.33</v>
      </c>
      <c r="F175" s="15">
        <v>335.78</v>
      </c>
      <c r="G175" s="16">
        <v>122</v>
      </c>
      <c r="H175" s="17">
        <v>27429.7</v>
      </c>
      <c r="I175" s="18">
        <v>49983</v>
      </c>
      <c r="J175" s="19">
        <v>0</v>
      </c>
      <c r="K175" s="20">
        <v>0</v>
      </c>
      <c r="L175" s="21">
        <v>2.5</v>
      </c>
      <c r="M175" s="22" t="s">
        <v>204</v>
      </c>
      <c r="N175" s="26">
        <v>66.930000000000007</v>
      </c>
      <c r="O175" s="27">
        <v>9005</v>
      </c>
      <c r="P175" s="28">
        <f t="shared" si="2"/>
        <v>73.016848262419586</v>
      </c>
    </row>
    <row r="176" spans="1:16" x14ac:dyDescent="0.25">
      <c r="A176" s="11" t="s">
        <v>214</v>
      </c>
      <c r="B176" s="12">
        <v>2025</v>
      </c>
      <c r="C176" s="12">
        <v>5</v>
      </c>
      <c r="D176" s="13" t="s">
        <v>203</v>
      </c>
      <c r="E176" s="14">
        <v>2969.56</v>
      </c>
      <c r="F176" s="15">
        <v>363.29</v>
      </c>
      <c r="G176" s="16">
        <v>122.43259999999999</v>
      </c>
      <c r="H176" s="17">
        <v>25798.2</v>
      </c>
      <c r="I176" s="18">
        <v>105400</v>
      </c>
      <c r="J176" s="19">
        <v>0</v>
      </c>
      <c r="K176" s="20">
        <v>0</v>
      </c>
      <c r="L176" s="21">
        <v>2.5</v>
      </c>
      <c r="M176" s="22" t="s">
        <v>204</v>
      </c>
      <c r="N176" s="26">
        <v>64.09</v>
      </c>
      <c r="O176" s="27">
        <v>9184</v>
      </c>
      <c r="P176" s="28">
        <f t="shared" si="2"/>
        <v>71.308399247279269</v>
      </c>
    </row>
    <row r="177" spans="1:16" x14ac:dyDescent="0.25">
      <c r="A177" s="11" t="s">
        <v>215</v>
      </c>
      <c r="B177" s="12">
        <v>2025</v>
      </c>
      <c r="C177" s="12">
        <v>6</v>
      </c>
      <c r="D177" s="13" t="s">
        <v>203</v>
      </c>
      <c r="E177" s="14">
        <v>2822.53</v>
      </c>
      <c r="F177" s="15">
        <v>346.81</v>
      </c>
      <c r="G177" s="16">
        <v>122.84739999999999</v>
      </c>
      <c r="H177" s="17">
        <v>31772</v>
      </c>
      <c r="I177" s="18">
        <v>92236</v>
      </c>
      <c r="J177" s="19">
        <v>0</v>
      </c>
      <c r="K177" s="20">
        <v>1</v>
      </c>
      <c r="L177" s="21">
        <v>2.5</v>
      </c>
      <c r="M177" s="22" t="s">
        <v>204</v>
      </c>
      <c r="N177" s="26">
        <v>69.849999999999994</v>
      </c>
      <c r="O177" s="27">
        <v>9752</v>
      </c>
      <c r="P177" s="28">
        <f t="shared" si="2"/>
        <v>82.52369091929161</v>
      </c>
    </row>
    <row r="178" spans="1:16" x14ac:dyDescent="0.25">
      <c r="A178" s="11" t="s">
        <v>216</v>
      </c>
      <c r="B178" s="12">
        <v>2025</v>
      </c>
      <c r="C178" s="12">
        <v>7</v>
      </c>
      <c r="D178" s="13" t="s">
        <v>217</v>
      </c>
      <c r="E178" s="14">
        <v>2477.87</v>
      </c>
      <c r="F178" s="15">
        <v>302.20999999999998</v>
      </c>
      <c r="G178" s="16">
        <v>121.9147</v>
      </c>
      <c r="H178" s="17">
        <v>29799.8</v>
      </c>
      <c r="I178" s="18">
        <v>63547</v>
      </c>
      <c r="J178" s="19">
        <v>0</v>
      </c>
      <c r="K178" s="20">
        <v>0</v>
      </c>
      <c r="L178" s="21">
        <v>2.5</v>
      </c>
      <c r="M178" s="22" t="s">
        <v>204</v>
      </c>
      <c r="N178" s="26">
        <v>69.56</v>
      </c>
      <c r="O178" s="27">
        <v>9201</v>
      </c>
      <c r="P178" s="28">
        <f t="shared" si="2"/>
        <v>77.537741132737352</v>
      </c>
    </row>
    <row r="179" spans="1:16" x14ac:dyDescent="0.25">
      <c r="A179" s="11" t="s">
        <v>218</v>
      </c>
      <c r="B179" s="12">
        <v>2025</v>
      </c>
      <c r="C179" s="12">
        <v>8</v>
      </c>
      <c r="D179" s="13" t="s">
        <v>217</v>
      </c>
      <c r="E179" s="14">
        <v>2421.89</v>
      </c>
      <c r="F179" s="15">
        <v>294.79000000000002</v>
      </c>
      <c r="G179" s="16">
        <v>121.6721</v>
      </c>
      <c r="H179" s="17">
        <v>31166.2</v>
      </c>
      <c r="I179" s="18">
        <v>147412</v>
      </c>
      <c r="J179" s="19">
        <v>0</v>
      </c>
      <c r="K179" s="20">
        <v>0</v>
      </c>
      <c r="L179" s="21">
        <v>2.5</v>
      </c>
      <c r="M179" s="22" t="s">
        <v>204</v>
      </c>
      <c r="N179" s="26">
        <v>67.239999999999995</v>
      </c>
      <c r="O179" s="27">
        <v>9722</v>
      </c>
      <c r="P179" s="28">
        <f t="shared" si="2"/>
        <v>79.195747488921853</v>
      </c>
    </row>
    <row r="180" spans="1:16" x14ac:dyDescent="0.25">
      <c r="A180" s="11" t="s">
        <v>219</v>
      </c>
      <c r="B180" s="12">
        <v>2025</v>
      </c>
      <c r="C180" s="12">
        <v>9</v>
      </c>
      <c r="D180" s="13" t="s">
        <v>217</v>
      </c>
      <c r="E180" s="14">
        <v>2685.56</v>
      </c>
      <c r="F180" s="15">
        <v>326.94</v>
      </c>
      <c r="G180" s="16">
        <v>121.74299999999999</v>
      </c>
      <c r="H180" s="17">
        <v>31426.799999999999</v>
      </c>
      <c r="I180" s="18">
        <v>98986</v>
      </c>
      <c r="J180" s="19">
        <v>0</v>
      </c>
      <c r="K180" s="20">
        <v>0</v>
      </c>
      <c r="L180" s="21">
        <v>2.5</v>
      </c>
      <c r="M180" s="22" t="s">
        <v>204</v>
      </c>
      <c r="N180" s="26">
        <v>67.61</v>
      </c>
      <c r="O180" s="27">
        <v>9966</v>
      </c>
      <c r="P180" s="28">
        <f t="shared" si="2"/>
        <v>81.63010582454794</v>
      </c>
    </row>
    <row r="181" spans="1:16" x14ac:dyDescent="0.25">
      <c r="A181" s="11" t="s">
        <v>220</v>
      </c>
      <c r="B181" s="12">
        <v>2025</v>
      </c>
      <c r="C181" s="12">
        <v>10</v>
      </c>
      <c r="D181" s="13" t="s">
        <v>217</v>
      </c>
      <c r="E181" s="14">
        <v>2562.44</v>
      </c>
      <c r="F181" s="15">
        <v>312.63</v>
      </c>
      <c r="G181" s="16">
        <v>122.2859</v>
      </c>
      <c r="H181" s="17">
        <v>32335.200000000001</v>
      </c>
      <c r="I181" s="18">
        <v>73975</v>
      </c>
      <c r="J181" s="19">
        <v>0</v>
      </c>
      <c r="K181" s="20">
        <v>0</v>
      </c>
      <c r="L181" s="21">
        <v>2.5</v>
      </c>
      <c r="M181" s="22" t="s">
        <v>204</v>
      </c>
      <c r="N181" s="26">
        <v>63.98</v>
      </c>
      <c r="O181" s="27">
        <v>10002</v>
      </c>
      <c r="P181" s="28">
        <f t="shared" si="2"/>
        <v>77.526401620096522</v>
      </c>
    </row>
    <row r="182" spans="1:16" x14ac:dyDescent="0.25">
      <c r="A182" s="11" t="s">
        <v>221</v>
      </c>
      <c r="B182" s="12">
        <v>2025</v>
      </c>
      <c r="C182" s="12">
        <v>11</v>
      </c>
      <c r="D182" s="13" t="s">
        <v>217</v>
      </c>
      <c r="E182" s="14">
        <v>2889.73</v>
      </c>
      <c r="F182" s="15">
        <v>353.47</v>
      </c>
      <c r="G182" s="16">
        <v>122.3133</v>
      </c>
      <c r="H182" s="17">
        <v>31093.4</v>
      </c>
      <c r="I182" s="18">
        <v>100133</v>
      </c>
      <c r="J182" s="19">
        <v>0</v>
      </c>
      <c r="K182" s="20">
        <v>0</v>
      </c>
      <c r="L182" s="21">
        <v>2.5</v>
      </c>
      <c r="M182" s="22" t="s">
        <v>204</v>
      </c>
      <c r="N182" s="26">
        <v>63.69</v>
      </c>
      <c r="O182" s="27">
        <v>10050</v>
      </c>
      <c r="P182" s="28">
        <f t="shared" si="2"/>
        <v>77.545366228096469</v>
      </c>
    </row>
    <row r="183" spans="1:16" x14ac:dyDescent="0.25">
      <c r="A183" s="11" t="s">
        <v>222</v>
      </c>
      <c r="B183" s="12">
        <v>2025</v>
      </c>
      <c r="C183" s="12">
        <v>12</v>
      </c>
      <c r="D183" s="13" t="s">
        <v>217</v>
      </c>
      <c r="E183" s="14">
        <v>3223.67</v>
      </c>
      <c r="F183" s="15">
        <v>394.23</v>
      </c>
      <c r="G183" s="16">
        <v>122.2889</v>
      </c>
      <c r="H183" s="17">
        <v>33189.800000000003</v>
      </c>
      <c r="I183" s="18">
        <v>119389</v>
      </c>
      <c r="J183" s="19">
        <v>0</v>
      </c>
      <c r="K183" s="20">
        <v>0</v>
      </c>
      <c r="L183" s="21">
        <v>2.5</v>
      </c>
      <c r="M183" s="22" t="s">
        <v>204</v>
      </c>
      <c r="N183" s="26">
        <v>61.81</v>
      </c>
      <c r="O183" s="27">
        <v>10084</v>
      </c>
      <c r="P183" s="28">
        <f t="shared" si="2"/>
        <v>75.510982548175051</v>
      </c>
    </row>
    <row r="184" spans="1:16" x14ac:dyDescent="0.25">
      <c r="A184" s="11" t="s">
        <v>223</v>
      </c>
      <c r="B184" s="12">
        <v>2026</v>
      </c>
      <c r="C184" s="12">
        <v>1</v>
      </c>
      <c r="D184" s="13" t="s">
        <v>217</v>
      </c>
      <c r="E184" s="14">
        <v>3171.63</v>
      </c>
      <c r="F184" s="15">
        <v>387.97</v>
      </c>
      <c r="G184" s="16">
        <v>122.3207</v>
      </c>
      <c r="H184" s="17">
        <v>33178.6</v>
      </c>
      <c r="I184" s="18">
        <v>95092</v>
      </c>
      <c r="J184" s="19">
        <v>0</v>
      </c>
      <c r="K184" s="20">
        <v>0</v>
      </c>
      <c r="L184" s="21">
        <v>2.5</v>
      </c>
      <c r="M184" s="22" t="s">
        <v>204</v>
      </c>
      <c r="N184" s="26">
        <v>64.59</v>
      </c>
      <c r="O184" s="27">
        <v>10100</v>
      </c>
      <c r="P184" s="28">
        <f t="shared" si="2"/>
        <v>79.032405201492594</v>
      </c>
    </row>
    <row r="185" spans="1:16" x14ac:dyDescent="0.25">
      <c r="A185" s="11" t="s">
        <v>224</v>
      </c>
      <c r="B185" s="12">
        <v>2026</v>
      </c>
      <c r="C185" s="12">
        <v>2</v>
      </c>
      <c r="D185" s="13" t="s">
        <v>217</v>
      </c>
      <c r="E185" s="14">
        <v>3019.45</v>
      </c>
      <c r="F185" s="15">
        <v>369.29</v>
      </c>
      <c r="G185" s="16">
        <v>122.301</v>
      </c>
      <c r="H185" s="17">
        <v>35109.199999999997</v>
      </c>
      <c r="I185" s="18">
        <v>65634</v>
      </c>
      <c r="J185" s="19">
        <v>0</v>
      </c>
      <c r="K185" s="20">
        <v>0</v>
      </c>
      <c r="L185" s="21">
        <v>2.5</v>
      </c>
      <c r="M185" s="22" t="s">
        <v>204</v>
      </c>
      <c r="N185" s="26">
        <v>69.41</v>
      </c>
      <c r="O185" s="27">
        <v>10882</v>
      </c>
      <c r="P185" s="28">
        <f t="shared" si="2"/>
        <v>91.505944218562803</v>
      </c>
    </row>
    <row r="186" spans="1:16" x14ac:dyDescent="0.25">
      <c r="A186" s="11" t="s">
        <v>225</v>
      </c>
      <c r="B186" s="12">
        <v>2026</v>
      </c>
      <c r="C186" s="12">
        <v>3</v>
      </c>
      <c r="D186" s="13" t="s">
        <v>217</v>
      </c>
      <c r="E186" s="14">
        <v>3752.21</v>
      </c>
      <c r="F186" s="15">
        <v>460.11</v>
      </c>
      <c r="G186" s="16">
        <v>122.577</v>
      </c>
      <c r="H186" s="17">
        <v>34116.6</v>
      </c>
      <c r="I186" s="18">
        <v>44658</v>
      </c>
      <c r="J186" s="19">
        <v>1</v>
      </c>
      <c r="K186" s="20">
        <v>0</v>
      </c>
      <c r="L186" s="21">
        <v>2.5</v>
      </c>
      <c r="M186" s="22" t="s">
        <v>204</v>
      </c>
      <c r="N186" s="26">
        <v>99.41</v>
      </c>
      <c r="O186" s="27">
        <v>6967</v>
      </c>
      <c r="P186" s="28">
        <f t="shared" si="2"/>
        <v>83.906271901402434</v>
      </c>
    </row>
    <row r="187" spans="1:16" x14ac:dyDescent="0.25">
      <c r="A187" s="11" t="s">
        <v>226</v>
      </c>
      <c r="B187" s="12">
        <v>2026</v>
      </c>
      <c r="C187" s="12">
        <v>4</v>
      </c>
      <c r="D187" s="13" t="s">
        <v>217</v>
      </c>
      <c r="E187" s="14">
        <v>3127.3</v>
      </c>
      <c r="F187" s="15">
        <v>383.85</v>
      </c>
      <c r="G187" s="16">
        <v>122.7449</v>
      </c>
      <c r="H187" s="17">
        <v>35108.400000000001</v>
      </c>
      <c r="I187" s="18">
        <v>48859</v>
      </c>
      <c r="J187" s="19">
        <v>0</v>
      </c>
      <c r="K187" s="20">
        <v>0</v>
      </c>
      <c r="L187" s="21">
        <v>2.5</v>
      </c>
      <c r="M187" s="22" t="s">
        <v>204</v>
      </c>
      <c r="N187" s="26">
        <v>102.81</v>
      </c>
      <c r="O187" s="27">
        <v>6316</v>
      </c>
      <c r="P187" s="28">
        <f t="shared" si="2"/>
        <v>78.667621802539102</v>
      </c>
    </row>
    <row r="188" spans="1:16" x14ac:dyDescent="0.25">
      <c r="A188" s="11" t="s">
        <v>227</v>
      </c>
      <c r="B188" s="12">
        <v>2026</v>
      </c>
      <c r="C188" s="12">
        <v>5</v>
      </c>
      <c r="D188" s="13" t="s">
        <v>217</v>
      </c>
      <c r="E188" s="14">
        <v>3442.58</v>
      </c>
      <c r="F188" s="15">
        <v>422.58</v>
      </c>
      <c r="G188" s="16">
        <v>122.75</v>
      </c>
      <c r="H188" s="17">
        <v>34476.6</v>
      </c>
      <c r="I188" s="18">
        <v>60119</v>
      </c>
      <c r="J188" s="19">
        <v>0</v>
      </c>
      <c r="K188" s="20">
        <v>1</v>
      </c>
      <c r="L188" s="21">
        <v>2.5</v>
      </c>
      <c r="M188" s="22" t="s">
        <v>204</v>
      </c>
      <c r="N188" s="26">
        <v>103.84</v>
      </c>
      <c r="O188" s="27">
        <v>6560</v>
      </c>
      <c r="P188" s="28">
        <f t="shared" si="2"/>
        <v>82.525290081330709</v>
      </c>
    </row>
    <row r="189" spans="1:16" x14ac:dyDescent="0.25">
      <c r="A189" s="11" t="s">
        <v>228</v>
      </c>
      <c r="B189" s="12">
        <v>2026</v>
      </c>
      <c r="C189" s="12">
        <v>6</v>
      </c>
      <c r="D189" s="13" t="s">
        <v>217</v>
      </c>
      <c r="E189" s="14">
        <v>2819.03</v>
      </c>
      <c r="F189" s="15">
        <v>346.06</v>
      </c>
      <c r="G189" s="16">
        <v>122.76300000000001</v>
      </c>
      <c r="H189" s="17">
        <v>37578</v>
      </c>
      <c r="I189" s="18">
        <v>51305</v>
      </c>
      <c r="J189" s="19">
        <v>0</v>
      </c>
      <c r="K189" s="20">
        <v>0</v>
      </c>
      <c r="L189" s="21">
        <v>2.5</v>
      </c>
      <c r="M189" s="22" t="s">
        <v>204</v>
      </c>
      <c r="N189" s="26">
        <v>84.49</v>
      </c>
      <c r="O189" s="27">
        <v>7122</v>
      </c>
      <c r="P189" s="28">
        <f t="shared" si="2"/>
        <v>72.899713277515303</v>
      </c>
    </row>
    <row r="190" spans="1:16" ht="15.75" thickBot="1" x14ac:dyDescent="0.3">
      <c r="A190" s="29" t="s">
        <v>229</v>
      </c>
      <c r="B190" s="30">
        <v>2026</v>
      </c>
      <c r="C190" s="30">
        <v>7</v>
      </c>
      <c r="D190" s="31" t="s">
        <v>230</v>
      </c>
      <c r="E190" s="32">
        <v>2858.68</v>
      </c>
      <c r="F190" s="33">
        <v>352.45</v>
      </c>
      <c r="G190" s="34"/>
      <c r="H190" s="35">
        <v>36422.199999999997</v>
      </c>
      <c r="I190" s="36"/>
      <c r="J190" s="37">
        <v>0</v>
      </c>
      <c r="K190" s="38">
        <v>0</v>
      </c>
      <c r="L190" s="39">
        <v>2.5</v>
      </c>
      <c r="M190" s="40" t="s">
        <v>204</v>
      </c>
      <c r="N190" s="41">
        <v>83.73</v>
      </c>
      <c r="O190" s="42"/>
      <c r="P190" s="43" t="str">
        <f t="shared" si="2"/>
        <v/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Jahangir Hassan</dc:creator>
  <cp:lastModifiedBy>Jahangir Hassan</cp:lastModifiedBy>
  <dcterms:created xsi:type="dcterms:W3CDTF">2026-09-03T22:10:33Z</dcterms:created>
  <dcterms:modified xsi:type="dcterms:W3CDTF">2026-09-03T22:11:50Z</dcterms:modified>
</cp:coreProperties>
</file>